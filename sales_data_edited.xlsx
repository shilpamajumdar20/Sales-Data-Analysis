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lp\OneDrive\Desktop\"/>
    </mc:Choice>
  </mc:AlternateContent>
  <xr:revisionPtr revIDLastSave="0" documentId="13_ncr:1_{3CB06B6D-F71B-4D46-9037-E5C2102428F3}" xr6:coauthVersionLast="47" xr6:coauthVersionMax="47" xr10:uidLastSave="{00000000-0000-0000-0000-000000000000}"/>
  <bookViews>
    <workbookView xWindow="-108" yWindow="-108" windowWidth="23256" windowHeight="12456" firstSheet="3" activeTab="6" xr2:uid="{DBB9175E-ADCC-4EDA-A1DB-8C3F532C4D58}"/>
  </bookViews>
  <sheets>
    <sheet name="Geographical Analysis" sheetId="2" r:id="rId1"/>
    <sheet name="Forecast" sheetId="3" r:id="rId2"/>
    <sheet name="Revenue Growth QoQ" sheetId="4" r:id="rId3"/>
    <sheet name="Period Averages" sheetId="5" r:id="rId4"/>
    <sheet name="Bestseller" sheetId="7" r:id="rId5"/>
    <sheet name="Gross Profit Margin " sheetId="9" r:id="rId6"/>
    <sheet name="Product Demand " sheetId="10" r:id="rId7"/>
    <sheet name="sales_data" sheetId="1" r:id="rId8"/>
    <sheet name="Seasonal Index" sheetId="6" r:id="rId9"/>
  </sheets>
  <calcPr calcId="191029"/>
  <pivotCaches>
    <pivotCache cacheId="0" r:id="rId10"/>
    <pivotCache cacheId="19" r:id="rId11"/>
    <pivotCache cacheId="2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O98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G16" i="6"/>
  <c r="G17" i="6"/>
  <c r="G18" i="6"/>
  <c r="G15" i="6"/>
  <c r="F16" i="6"/>
  <c r="F17" i="6"/>
  <c r="F18" i="6"/>
  <c r="E16" i="6"/>
  <c r="E17" i="6"/>
  <c r="E18" i="6"/>
  <c r="D16" i="6"/>
  <c r="D17" i="6"/>
  <c r="D18" i="6"/>
  <c r="F15" i="6"/>
  <c r="E15" i="6"/>
  <c r="D15" i="6"/>
  <c r="C16" i="6"/>
  <c r="C17" i="6"/>
  <c r="C18" i="6"/>
  <c r="C15" i="6"/>
  <c r="B17" i="6"/>
  <c r="B18" i="6"/>
  <c r="B16" i="6"/>
  <c r="B15" i="6"/>
  <c r="C368" i="3" l="1"/>
  <c r="C417" i="3"/>
  <c r="C371" i="3"/>
  <c r="C420" i="3"/>
  <c r="C374" i="3"/>
  <c r="C423" i="3"/>
  <c r="C389" i="3"/>
  <c r="C450" i="3"/>
  <c r="C429" i="3"/>
  <c r="C383" i="3"/>
  <c r="C432" i="3"/>
  <c r="C386" i="3"/>
  <c r="C435" i="3"/>
  <c r="C401" i="3"/>
  <c r="C379" i="3"/>
  <c r="C396" i="3"/>
  <c r="C408" i="3"/>
  <c r="C411" i="3"/>
  <c r="C380" i="3"/>
  <c r="C392" i="3"/>
  <c r="C441" i="3"/>
  <c r="C395" i="3"/>
  <c r="C444" i="3"/>
  <c r="C398" i="3"/>
  <c r="C447" i="3"/>
  <c r="C413" i="3"/>
  <c r="C391" i="3"/>
  <c r="C404" i="3"/>
  <c r="C453" i="3"/>
  <c r="C407" i="3"/>
  <c r="C456" i="3"/>
  <c r="C410" i="3"/>
  <c r="C459" i="3"/>
  <c r="C425" i="3"/>
  <c r="C403" i="3"/>
  <c r="C370" i="3"/>
  <c r="C419" i="3"/>
  <c r="C373" i="3"/>
  <c r="C422" i="3"/>
  <c r="C376" i="3"/>
  <c r="C437" i="3"/>
  <c r="C415" i="3"/>
  <c r="C394" i="3"/>
  <c r="C397" i="3"/>
  <c r="C446" i="3"/>
  <c r="C378" i="3"/>
  <c r="C439" i="3"/>
  <c r="C452" i="3"/>
  <c r="C455" i="3"/>
  <c r="C409" i="3"/>
  <c r="C412" i="3"/>
  <c r="C390" i="3"/>
  <c r="C451" i="3"/>
  <c r="C369" i="3"/>
  <c r="C421" i="3"/>
  <c r="C375" i="3"/>
  <c r="C402" i="3"/>
  <c r="C381" i="3"/>
  <c r="C384" i="3"/>
  <c r="C433" i="3"/>
  <c r="C436" i="3"/>
  <c r="C414" i="3"/>
  <c r="C442" i="3"/>
  <c r="C445" i="3"/>
  <c r="C448" i="3"/>
  <c r="C426" i="3"/>
  <c r="C405" i="3"/>
  <c r="C377" i="3"/>
  <c r="C416" i="3"/>
  <c r="C428" i="3"/>
  <c r="C382" i="3"/>
  <c r="C431" i="3"/>
  <c r="C385" i="3"/>
  <c r="C434" i="3"/>
  <c r="C388" i="3"/>
  <c r="C449" i="3"/>
  <c r="C427" i="3"/>
  <c r="C440" i="3"/>
  <c r="C443" i="3"/>
  <c r="C400" i="3"/>
  <c r="C406" i="3"/>
  <c r="C458" i="3"/>
  <c r="C418" i="3"/>
  <c r="C372" i="3"/>
  <c r="C424" i="3"/>
  <c r="C430" i="3"/>
  <c r="C387" i="3"/>
  <c r="C393" i="3"/>
  <c r="C399" i="3"/>
  <c r="C454" i="3"/>
  <c r="C457" i="3"/>
  <c r="C438" i="3"/>
  <c r="E438" i="3" l="1"/>
  <c r="E457" i="3"/>
  <c r="D424" i="3"/>
  <c r="E443" i="3"/>
  <c r="E385" i="3"/>
  <c r="D405" i="3"/>
  <c r="E436" i="3"/>
  <c r="D421" i="3"/>
  <c r="E455" i="3"/>
  <c r="D394" i="3"/>
  <c r="E419" i="3"/>
  <c r="D456" i="3"/>
  <c r="E447" i="3"/>
  <c r="E380" i="3"/>
  <c r="E435" i="3"/>
  <c r="E389" i="3"/>
  <c r="E368" i="3"/>
  <c r="E454" i="3"/>
  <c r="E372" i="3"/>
  <c r="E440" i="3"/>
  <c r="E431" i="3"/>
  <c r="E426" i="3"/>
  <c r="E433" i="3"/>
  <c r="D369" i="3"/>
  <c r="E452" i="3"/>
  <c r="E415" i="3"/>
  <c r="D370" i="3"/>
  <c r="D407" i="3"/>
  <c r="E398" i="3"/>
  <c r="E411" i="3"/>
  <c r="D386" i="3"/>
  <c r="E423" i="3"/>
  <c r="D454" i="3"/>
  <c r="D372" i="3"/>
  <c r="D440" i="3"/>
  <c r="D431" i="3"/>
  <c r="D426" i="3"/>
  <c r="D433" i="3"/>
  <c r="E369" i="3"/>
  <c r="D452" i="3"/>
  <c r="D415" i="3"/>
  <c r="E370" i="3"/>
  <c r="E407" i="3"/>
  <c r="D398" i="3"/>
  <c r="D411" i="3"/>
  <c r="E386" i="3"/>
  <c r="D423" i="3"/>
  <c r="D399" i="3"/>
  <c r="E418" i="3"/>
  <c r="E427" i="3"/>
  <c r="D382" i="3"/>
  <c r="D448" i="3"/>
  <c r="D384" i="3"/>
  <c r="E451" i="3"/>
  <c r="D439" i="3"/>
  <c r="D437" i="3"/>
  <c r="E403" i="3"/>
  <c r="E453" i="3"/>
  <c r="E444" i="3"/>
  <c r="E408" i="3"/>
  <c r="E432" i="3"/>
  <c r="D374" i="3"/>
  <c r="E399" i="3"/>
  <c r="D418" i="3"/>
  <c r="D427" i="3"/>
  <c r="E382" i="3"/>
  <c r="E448" i="3"/>
  <c r="E384" i="3"/>
  <c r="D451" i="3"/>
  <c r="E439" i="3"/>
  <c r="E437" i="3"/>
  <c r="D403" i="3"/>
  <c r="D453" i="3"/>
  <c r="D444" i="3"/>
  <c r="D408" i="3"/>
  <c r="D432" i="3"/>
  <c r="E374" i="3"/>
  <c r="E393" i="3"/>
  <c r="E458" i="3"/>
  <c r="E449" i="3"/>
  <c r="E428" i="3"/>
  <c r="D445" i="3"/>
  <c r="D381" i="3"/>
  <c r="D390" i="3"/>
  <c r="E378" i="3"/>
  <c r="E376" i="3"/>
  <c r="D425" i="3"/>
  <c r="E404" i="3"/>
  <c r="D395" i="3"/>
  <c r="D396" i="3"/>
  <c r="D383" i="3"/>
  <c r="E420" i="3"/>
  <c r="D393" i="3"/>
  <c r="D458" i="3"/>
  <c r="D449" i="3"/>
  <c r="D428" i="3"/>
  <c r="E445" i="3"/>
  <c r="E381" i="3"/>
  <c r="E390" i="3"/>
  <c r="D378" i="3"/>
  <c r="D376" i="3"/>
  <c r="E425" i="3"/>
  <c r="D404" i="3"/>
  <c r="E395" i="3"/>
  <c r="E396" i="3"/>
  <c r="E383" i="3"/>
  <c r="D420" i="3"/>
  <c r="D387" i="3"/>
  <c r="E406" i="3"/>
  <c r="E388" i="3"/>
  <c r="E416" i="3"/>
  <c r="E442" i="3"/>
  <c r="E402" i="3"/>
  <c r="E412" i="3"/>
  <c r="D446" i="3"/>
  <c r="D422" i="3"/>
  <c r="E459" i="3"/>
  <c r="E391" i="3"/>
  <c r="D441" i="3"/>
  <c r="D379" i="3"/>
  <c r="E429" i="3"/>
  <c r="D371" i="3"/>
  <c r="E387" i="3"/>
  <c r="D406" i="3"/>
  <c r="D388" i="3"/>
  <c r="D416" i="3"/>
  <c r="D442" i="3"/>
  <c r="D402" i="3"/>
  <c r="D438" i="3"/>
  <c r="E377" i="3"/>
  <c r="E446" i="3"/>
  <c r="D391" i="3"/>
  <c r="D429" i="3"/>
  <c r="E430" i="3"/>
  <c r="D413" i="3"/>
  <c r="D368" i="3"/>
  <c r="E379" i="3"/>
  <c r="E409" i="3"/>
  <c r="D409" i="3"/>
  <c r="E456" i="3"/>
  <c r="D457" i="3"/>
  <c r="E405" i="3"/>
  <c r="E397" i="3"/>
  <c r="E413" i="3"/>
  <c r="E450" i="3"/>
  <c r="D414" i="3"/>
  <c r="D397" i="3"/>
  <c r="D450" i="3"/>
  <c r="D412" i="3"/>
  <c r="D410" i="3"/>
  <c r="E410" i="3"/>
  <c r="D377" i="3"/>
  <c r="D430" i="3"/>
  <c r="E414" i="3"/>
  <c r="E394" i="3"/>
  <c r="D447" i="3"/>
  <c r="D389" i="3"/>
  <c r="E424" i="3"/>
  <c r="D436" i="3"/>
  <c r="E422" i="3"/>
  <c r="E441" i="3"/>
  <c r="E371" i="3"/>
  <c r="E400" i="3"/>
  <c r="E375" i="3"/>
  <c r="E373" i="3"/>
  <c r="E392" i="3"/>
  <c r="D417" i="3"/>
  <c r="D400" i="3"/>
  <c r="D375" i="3"/>
  <c r="D373" i="3"/>
  <c r="D392" i="3"/>
  <c r="E417" i="3"/>
  <c r="D443" i="3"/>
  <c r="E421" i="3"/>
  <c r="D419" i="3"/>
  <c r="D380" i="3"/>
  <c r="E434" i="3"/>
  <c r="D459" i="3"/>
  <c r="D434" i="3"/>
  <c r="E401" i="3"/>
  <c r="D385" i="3"/>
  <c r="D401" i="3"/>
  <c r="D455" i="3"/>
  <c r="D435" i="3"/>
</calcChain>
</file>

<file path=xl/sharedStrings.xml><?xml version="1.0" encoding="utf-8"?>
<sst xmlns="http://schemas.openxmlformats.org/spreadsheetml/2006/main" count="7119" uniqueCount="76">
  <si>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</si>
  <si>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</si>
  <si>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</si>
  <si>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</si>
  <si>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</si>
  <si>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</si>
  <si>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</si>
  <si>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</si>
  <si>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</si>
  <si>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</si>
  <si>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</si>
  <si>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</si>
  <si>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</si>
  <si>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</si>
  <si>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</si>
  <si>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</si>
  <si>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</si>
  <si>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</si>
  <si>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</si>
  <si>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</si>
  <si>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</si>
  <si>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</si>
  <si>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</si>
  <si>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</si>
  <si>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</si>
  <si>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</si>
  <si>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</si>
  <si>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</si>
  <si>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</si>
  <si>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</si>
  <si>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</si>
  <si>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</si>
  <si>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</si>
  <si>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</si>
  <si>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</si>
  <si>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</si>
  <si>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</si>
  <si>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</si>
  <si>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</si>
  <si>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</si>
  <si>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</si>
  <si>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</si>
  <si>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</si>
  <si>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</si>
  <si>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</si>
  <si>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</si>
  <si>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</si>
  <si>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</si>
  <si>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</si>
  <si>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</si>
  <si>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</si>
  <si>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</si>
  <si>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</si>
  <si>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</si>
  <si>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Row Labels</t>
  </si>
  <si>
    <t>Grand Total</t>
  </si>
  <si>
    <t>2023</t>
  </si>
  <si>
    <t>2024</t>
  </si>
  <si>
    <t>Column Labels</t>
  </si>
  <si>
    <t>Sum of Sales_Amount</t>
  </si>
  <si>
    <t>Qtr1</t>
  </si>
  <si>
    <t>Qtr2</t>
  </si>
  <si>
    <t>Qtr3</t>
  </si>
  <si>
    <t>Qtr4</t>
  </si>
  <si>
    <t>Forecast(Product_ID)</t>
  </si>
  <si>
    <t>Lower Confidence Bound(Product_ID)</t>
  </si>
  <si>
    <t>Upper Confidence Bound(Product_ID)</t>
  </si>
  <si>
    <t>Average of Sales_Amount</t>
  </si>
  <si>
    <t>Seasonal Index</t>
  </si>
  <si>
    <t>Qtr Average 2023</t>
  </si>
  <si>
    <t>Sum of Quantity_Sold</t>
  </si>
  <si>
    <t>Gross Profit</t>
  </si>
  <si>
    <t>Total Cost Price</t>
  </si>
  <si>
    <t>Sum of Gross Profit Margin</t>
  </si>
  <si>
    <t>Total Sales Price</t>
  </si>
  <si>
    <t>Sum of Total Sales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</si>
</sst>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A0A0A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9" fontId="0" fillId="0" borderId="0" xfId="0" pivotButton="1" applyNumberFormat="1"/>
    <xf numFmtId="9" fontId="0" fillId="0" borderId="0" xfId="0" applyNumberFormat="1"/>
    <xf numFmtId="9" fontId="0" fillId="0" borderId="0" xfId="0" applyNumberFormat="1" applyAlignment="1">
      <alignment horizontal="left"/>
    </xf>
    <xf numFmtId="0" fontId="18" fillId="0" borderId="0" xfId="0" applyFont="1"/>
    <xf numFmtId="9" fontId="16" fillId="0" borderId="0" xfId="0" applyNumberFormat="1" applyFont="1"/>
    <xf numFmtId="0" fontId="0" fillId="0" borderId="10" xfId="0" applyBorder="1"/>
    <xf numFmtId="9" fontId="0" fillId="0" borderId="10" xfId="0" applyNumberFormat="1" applyBorder="1"/>
    <xf numFmtId="9" fontId="1" fillId="10" borderId="10" xfId="19" applyNumberFormat="1" applyBorder="1"/>
    <xf numFmtId="9" fontId="16" fillId="10" borderId="10" xfId="19" applyNumberFormat="1" applyFont="1" applyBorder="1"/>
    <xf numFmtId="0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168" formatCode="0.0%"/>
    </dxf>
    <dxf>
      <numFmt numFmtId="13" formatCode="0%"/>
    </dxf>
    <dxf>
      <numFmt numFmtId="168" formatCode="0.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[sales_data_edited.xlsx]Geographical Analysis!PivotTable1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'Geographical Analysis'!$B$3:$B$4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'Geographical Analysis'!$A$5:$A$9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'Geographical Analysis'!$B$5:$B$9</c:f>
              <c:numCache>
                <c:formatCode>General</c:formatCode>
                <c:ptCount val="4"/>
                <c:pt idx="0">
                  <c:v>356670.40000000008</c:v>
                </c:pt>
                <c:pt idx="1">
                  <c:v>372977.22</c:v>
                </c:pt>
                <c:pt idx="2">
                  <c:v>269517.74</c:v>
                </c:pt>
                <c:pt idx="3">
                  <c:v>314309.00000000006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4-4B5D-8B95-308AD3617931}"/>
            </c:ext>
          </c:extLst>
        </c:ser>
        <c:ser>
          <c:idx val="1"/>
          <c:order val="1"/>
          <c:tx>
            <c:strRef>
              <c:f>'Geographical Analysis'!$C$3:$C$4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'Geographical Analysis'!$A$5:$A$9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'Geographical Analysis'!$C$5:$C$9</c:f>
              <c:numCache>
                <c:formatCode>General</c:formatCode>
                <c:ptCount val="4"/>
                <c:pt idx="0">
                  <c:v>303101.42</c:v>
                </c:pt>
                <c:pt idx="1">
                  <c:v>342666.29000000015</c:v>
                </c:pt>
                <c:pt idx="2">
                  <c:v>293663.96000000002</c:v>
                </c:pt>
                <c:pt idx="3">
                  <c:v>304067.97000000003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4-4B5D-8B95-308AD3617931}"/>
            </c:ext>
          </c:extLst>
        </c:ser>
        <c:ser>
          <c:idx val="2"/>
          <c:order val="2"/>
          <c:tx>
            <c:strRef>
              <c:f>'Geographical Analysis'!$D$3:$D$4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'Geographical Analysis'!$A$5:$A$9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'Geographical Analysis'!$D$5:$D$9</c:f>
              <c:numCache>
                <c:formatCode>General</c:formatCode>
                <c:ptCount val="4"/>
                <c:pt idx="0">
                  <c:v>325864.87</c:v>
                </c:pt>
                <c:pt idx="1">
                  <c:v>258985.65</c:v>
                </c:pt>
                <c:pt idx="2">
                  <c:v>301187.51</c:v>
                </c:pt>
                <c:pt idx="3">
                  <c:v>315735.50999999995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C4-4B5D-8B95-308AD3617931}"/>
            </c:ext>
          </c:extLst>
        </c:ser>
        <c:ser>
          <c:idx val="3"/>
          <c:order val="3"/>
          <c:tx>
            <c:strRef>
              <c:f>'Geographical Analysis'!$E$3:$E$4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'Geographical Analysis'!$A$5:$A$9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'Geographical Analysis'!$E$5:$E$9</c:f>
              <c:numCache>
                <c:formatCode>General</c:formatCode>
                <c:ptCount val="4"/>
                <c:pt idx="0">
                  <c:v>274156.24</c:v>
                </c:pt>
                <c:pt idx="1">
                  <c:v>394983.35</c:v>
                </c:pt>
                <c:pt idx="2">
                  <c:v>289881.65000000008</c:v>
                </c:pt>
                <c:pt idx="3">
                  <c:v>301496.45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C4-4B5D-8B95-308AD3617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4379408"/>
        <c:axId val="1924377488"/>
      </c:barChart>
      <c:catAx>
        <c:axId val="192437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77488"/>
        <c:crosses val="autoZero"/>
        <c:auto val="1"/>
        <c:lblAlgn val="ctr"/>
        <c:lblOffset val="100"/>
        <c:noMultiLvlLbl val="0"/>
      </c:catAx>
      <c:valAx>
        <c:axId val="19243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7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841513849516949E-2"/>
          <c:y val="4.5809027764045815E-2"/>
          <c:w val="0.92697451948941167"/>
          <c:h val="0.72510206691265555"/>
        </c:manualLayout>
      </c:layout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Product_ID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Forecast!$B$2:$B$459</c:f>
              <c:numCache>
                <c:formatCode>General</c:formatCode>
                <c:ptCount val="458"/>
                <c:pt idx="0">
                  <c:v>1055.6666666666667</c:v>
                </c:pt>
                <c:pt idx="1">
                  <c:v>1069.5</c:v>
                </c:pt>
                <c:pt idx="2">
                  <c:v>1071</c:v>
                </c:pt>
                <c:pt idx="3">
                  <c:v>1061.1666666666667</c:v>
                </c:pt>
                <c:pt idx="4">
                  <c:v>1052</c:v>
                </c:pt>
                <c:pt idx="5">
                  <c:v>1074.5</c:v>
                </c:pt>
                <c:pt idx="6">
                  <c:v>1054.8</c:v>
                </c:pt>
                <c:pt idx="7">
                  <c:v>1040</c:v>
                </c:pt>
                <c:pt idx="8">
                  <c:v>1055.5999999999999</c:v>
                </c:pt>
                <c:pt idx="9">
                  <c:v>1074</c:v>
                </c:pt>
                <c:pt idx="10">
                  <c:v>1070.5999999999999</c:v>
                </c:pt>
                <c:pt idx="11">
                  <c:v>1055.2857142857142</c:v>
                </c:pt>
                <c:pt idx="12">
                  <c:v>1051</c:v>
                </c:pt>
                <c:pt idx="13">
                  <c:v>1042.75</c:v>
                </c:pt>
                <c:pt idx="14">
                  <c:v>1044</c:v>
                </c:pt>
                <c:pt idx="15">
                  <c:v>1023.5</c:v>
                </c:pt>
                <c:pt idx="16">
                  <c:v>1045</c:v>
                </c:pt>
                <c:pt idx="17">
                  <c:v>1080</c:v>
                </c:pt>
                <c:pt idx="18">
                  <c:v>1048</c:v>
                </c:pt>
                <c:pt idx="19">
                  <c:v>1052</c:v>
                </c:pt>
                <c:pt idx="20">
                  <c:v>1003</c:v>
                </c:pt>
                <c:pt idx="21">
                  <c:v>1028.6666666666667</c:v>
                </c:pt>
                <c:pt idx="22">
                  <c:v>1030.6666666666667</c:v>
                </c:pt>
                <c:pt idx="23">
                  <c:v>1035.5</c:v>
                </c:pt>
                <c:pt idx="24">
                  <c:v>1064.8333333333333</c:v>
                </c:pt>
                <c:pt idx="25">
                  <c:v>1022.3333333333334</c:v>
                </c:pt>
                <c:pt idx="26">
                  <c:v>1051.75</c:v>
                </c:pt>
                <c:pt idx="27">
                  <c:v>1041.2916666666665</c:v>
                </c:pt>
                <c:pt idx="28">
                  <c:v>1030.8333333333333</c:v>
                </c:pt>
                <c:pt idx="29">
                  <c:v>1040.1666666666665</c:v>
                </c:pt>
                <c:pt idx="30">
                  <c:v>1049.5</c:v>
                </c:pt>
                <c:pt idx="31">
                  <c:v>1083</c:v>
                </c:pt>
                <c:pt idx="32">
                  <c:v>1096</c:v>
                </c:pt>
                <c:pt idx="33">
                  <c:v>1033.3333333333333</c:v>
                </c:pt>
                <c:pt idx="34">
                  <c:v>1032</c:v>
                </c:pt>
                <c:pt idx="35">
                  <c:v>1052.6666666666667</c:v>
                </c:pt>
                <c:pt idx="36">
                  <c:v>1029.6666666666667</c:v>
                </c:pt>
                <c:pt idx="37">
                  <c:v>1054.8</c:v>
                </c:pt>
                <c:pt idx="38">
                  <c:v>1048.5</c:v>
                </c:pt>
                <c:pt idx="39">
                  <c:v>1054.5</c:v>
                </c:pt>
                <c:pt idx="40">
                  <c:v>1057.3333333333333</c:v>
                </c:pt>
                <c:pt idx="41">
                  <c:v>1029.4000000000001</c:v>
                </c:pt>
                <c:pt idx="42">
                  <c:v>1052.7</c:v>
                </c:pt>
                <c:pt idx="43">
                  <c:v>1076</c:v>
                </c:pt>
                <c:pt idx="44">
                  <c:v>1071.5</c:v>
                </c:pt>
                <c:pt idx="45">
                  <c:v>1066.75</c:v>
                </c:pt>
                <c:pt idx="46">
                  <c:v>1033.75</c:v>
                </c:pt>
                <c:pt idx="47">
                  <c:v>1018.875</c:v>
                </c:pt>
                <c:pt idx="48">
                  <c:v>1004</c:v>
                </c:pt>
                <c:pt idx="49">
                  <c:v>1043.5</c:v>
                </c:pt>
                <c:pt idx="50">
                  <c:v>1009.5</c:v>
                </c:pt>
                <c:pt idx="51">
                  <c:v>1049</c:v>
                </c:pt>
                <c:pt idx="52">
                  <c:v>1046</c:v>
                </c:pt>
                <c:pt idx="53">
                  <c:v>1074</c:v>
                </c:pt>
                <c:pt idx="54">
                  <c:v>1064.5999999999999</c:v>
                </c:pt>
                <c:pt idx="55">
                  <c:v>1013</c:v>
                </c:pt>
                <c:pt idx="56">
                  <c:v>1086</c:v>
                </c:pt>
                <c:pt idx="57">
                  <c:v>1084</c:v>
                </c:pt>
                <c:pt idx="58">
                  <c:v>1036.6666666666667</c:v>
                </c:pt>
                <c:pt idx="59">
                  <c:v>1034.6666666666667</c:v>
                </c:pt>
                <c:pt idx="60">
                  <c:v>1046.3333333333333</c:v>
                </c:pt>
                <c:pt idx="61">
                  <c:v>1056.5</c:v>
                </c:pt>
                <c:pt idx="62">
                  <c:v>1061</c:v>
                </c:pt>
                <c:pt idx="63">
                  <c:v>1054</c:v>
                </c:pt>
                <c:pt idx="64">
                  <c:v>1024</c:v>
                </c:pt>
                <c:pt idx="65">
                  <c:v>1030</c:v>
                </c:pt>
                <c:pt idx="66">
                  <c:v>1036</c:v>
                </c:pt>
                <c:pt idx="67">
                  <c:v>1058</c:v>
                </c:pt>
                <c:pt idx="68">
                  <c:v>1035.6666666666667</c:v>
                </c:pt>
                <c:pt idx="69">
                  <c:v>1038</c:v>
                </c:pt>
                <c:pt idx="70">
                  <c:v>1039.125</c:v>
                </c:pt>
                <c:pt idx="71">
                  <c:v>1040.25</c:v>
                </c:pt>
                <c:pt idx="72">
                  <c:v>1057.6666666666667</c:v>
                </c:pt>
                <c:pt idx="73">
                  <c:v>1060</c:v>
                </c:pt>
                <c:pt idx="74">
                  <c:v>1074</c:v>
                </c:pt>
                <c:pt idx="75">
                  <c:v>1025.6666666666667</c:v>
                </c:pt>
                <c:pt idx="76">
                  <c:v>1055.5</c:v>
                </c:pt>
                <c:pt idx="77">
                  <c:v>1028.3333333333333</c:v>
                </c:pt>
                <c:pt idx="78">
                  <c:v>1018.5</c:v>
                </c:pt>
                <c:pt idx="79">
                  <c:v>1076.5</c:v>
                </c:pt>
                <c:pt idx="80">
                  <c:v>1078</c:v>
                </c:pt>
                <c:pt idx="81">
                  <c:v>1059</c:v>
                </c:pt>
                <c:pt idx="82">
                  <c:v>1061</c:v>
                </c:pt>
                <c:pt idx="83">
                  <c:v>1054.6666666666667</c:v>
                </c:pt>
                <c:pt idx="84">
                  <c:v>1097</c:v>
                </c:pt>
                <c:pt idx="85">
                  <c:v>1058.3333333333333</c:v>
                </c:pt>
                <c:pt idx="86">
                  <c:v>1058</c:v>
                </c:pt>
                <c:pt idx="87">
                  <c:v>1016</c:v>
                </c:pt>
                <c:pt idx="88">
                  <c:v>1026.5</c:v>
                </c:pt>
                <c:pt idx="89">
                  <c:v>1023</c:v>
                </c:pt>
                <c:pt idx="90">
                  <c:v>1032.3</c:v>
                </c:pt>
                <c:pt idx="91">
                  <c:v>1041.5999999999999</c:v>
                </c:pt>
                <c:pt idx="92">
                  <c:v>1097</c:v>
                </c:pt>
                <c:pt idx="93">
                  <c:v>1064.5</c:v>
                </c:pt>
                <c:pt idx="94">
                  <c:v>1064.75</c:v>
                </c:pt>
                <c:pt idx="95">
                  <c:v>1060</c:v>
                </c:pt>
                <c:pt idx="96">
                  <c:v>1042</c:v>
                </c:pt>
                <c:pt idx="97">
                  <c:v>1054.2</c:v>
                </c:pt>
                <c:pt idx="98">
                  <c:v>1049</c:v>
                </c:pt>
                <c:pt idx="99">
                  <c:v>1045.25</c:v>
                </c:pt>
                <c:pt idx="100">
                  <c:v>1041.5</c:v>
                </c:pt>
                <c:pt idx="101">
                  <c:v>1072</c:v>
                </c:pt>
                <c:pt idx="102">
                  <c:v>1049.5</c:v>
                </c:pt>
                <c:pt idx="103">
                  <c:v>1044.1666666666667</c:v>
                </c:pt>
                <c:pt idx="104">
                  <c:v>1011.5</c:v>
                </c:pt>
                <c:pt idx="105">
                  <c:v>1054</c:v>
                </c:pt>
                <c:pt idx="106">
                  <c:v>1052</c:v>
                </c:pt>
                <c:pt idx="107">
                  <c:v>1036</c:v>
                </c:pt>
                <c:pt idx="108">
                  <c:v>1033</c:v>
                </c:pt>
                <c:pt idx="109">
                  <c:v>1044</c:v>
                </c:pt>
                <c:pt idx="110">
                  <c:v>1065.4000000000001</c:v>
                </c:pt>
                <c:pt idx="111">
                  <c:v>1031.5</c:v>
                </c:pt>
                <c:pt idx="112">
                  <c:v>1029.25</c:v>
                </c:pt>
                <c:pt idx="113">
                  <c:v>1039</c:v>
                </c:pt>
                <c:pt idx="114">
                  <c:v>1069.6666666666667</c:v>
                </c:pt>
                <c:pt idx="115">
                  <c:v>1075</c:v>
                </c:pt>
                <c:pt idx="116">
                  <c:v>1025.4000000000001</c:v>
                </c:pt>
                <c:pt idx="117">
                  <c:v>1017.75</c:v>
                </c:pt>
                <c:pt idx="118">
                  <c:v>1074.5</c:v>
                </c:pt>
                <c:pt idx="119">
                  <c:v>1041.25</c:v>
                </c:pt>
                <c:pt idx="120">
                  <c:v>1051.125</c:v>
                </c:pt>
                <c:pt idx="121">
                  <c:v>1061</c:v>
                </c:pt>
                <c:pt idx="122">
                  <c:v>1039.3333333333333</c:v>
                </c:pt>
                <c:pt idx="123">
                  <c:v>1086</c:v>
                </c:pt>
                <c:pt idx="124">
                  <c:v>1062</c:v>
                </c:pt>
                <c:pt idx="125">
                  <c:v>1063.25</c:v>
                </c:pt>
                <c:pt idx="126">
                  <c:v>1064.5</c:v>
                </c:pt>
                <c:pt idx="127">
                  <c:v>1062</c:v>
                </c:pt>
                <c:pt idx="128">
                  <c:v>1012</c:v>
                </c:pt>
                <c:pt idx="129">
                  <c:v>1032</c:v>
                </c:pt>
                <c:pt idx="130">
                  <c:v>1038.5</c:v>
                </c:pt>
                <c:pt idx="131">
                  <c:v>1035.5</c:v>
                </c:pt>
                <c:pt idx="132">
                  <c:v>1058</c:v>
                </c:pt>
                <c:pt idx="133">
                  <c:v>1042</c:v>
                </c:pt>
                <c:pt idx="134">
                  <c:v>1052</c:v>
                </c:pt>
                <c:pt idx="135">
                  <c:v>1062</c:v>
                </c:pt>
                <c:pt idx="136">
                  <c:v>1042.4000000000001</c:v>
                </c:pt>
                <c:pt idx="137">
                  <c:v>1063</c:v>
                </c:pt>
                <c:pt idx="138">
                  <c:v>1050</c:v>
                </c:pt>
                <c:pt idx="139">
                  <c:v>1041.5</c:v>
                </c:pt>
                <c:pt idx="140">
                  <c:v>1023</c:v>
                </c:pt>
                <c:pt idx="141">
                  <c:v>1042</c:v>
                </c:pt>
                <c:pt idx="142">
                  <c:v>1070.3333333333333</c:v>
                </c:pt>
                <c:pt idx="143">
                  <c:v>1019</c:v>
                </c:pt>
                <c:pt idx="144">
                  <c:v>1062.6666666666667</c:v>
                </c:pt>
                <c:pt idx="145">
                  <c:v>1062</c:v>
                </c:pt>
                <c:pt idx="146">
                  <c:v>1036.75</c:v>
                </c:pt>
                <c:pt idx="147">
                  <c:v>1030.8</c:v>
                </c:pt>
                <c:pt idx="148">
                  <c:v>1064.6666666666667</c:v>
                </c:pt>
                <c:pt idx="149">
                  <c:v>1014.6666666666666</c:v>
                </c:pt>
                <c:pt idx="150">
                  <c:v>1064</c:v>
                </c:pt>
                <c:pt idx="151">
                  <c:v>1040.5999999999999</c:v>
                </c:pt>
                <c:pt idx="152">
                  <c:v>1056.5999999999999</c:v>
                </c:pt>
                <c:pt idx="153">
                  <c:v>1060.8</c:v>
                </c:pt>
                <c:pt idx="154">
                  <c:v>1058.5</c:v>
                </c:pt>
                <c:pt idx="155">
                  <c:v>1082</c:v>
                </c:pt>
                <c:pt idx="156">
                  <c:v>1041</c:v>
                </c:pt>
                <c:pt idx="157">
                  <c:v>1058.75</c:v>
                </c:pt>
                <c:pt idx="158">
                  <c:v>1033.6666666666667</c:v>
                </c:pt>
                <c:pt idx="159">
                  <c:v>1052.3333333333333</c:v>
                </c:pt>
                <c:pt idx="160">
                  <c:v>1052</c:v>
                </c:pt>
                <c:pt idx="161">
                  <c:v>1083.5</c:v>
                </c:pt>
                <c:pt idx="162">
                  <c:v>1043</c:v>
                </c:pt>
                <c:pt idx="163">
                  <c:v>1063.5</c:v>
                </c:pt>
                <c:pt idx="164">
                  <c:v>1008.6666666666666</c:v>
                </c:pt>
                <c:pt idx="165">
                  <c:v>1047.25</c:v>
                </c:pt>
                <c:pt idx="166">
                  <c:v>1061.625</c:v>
                </c:pt>
                <c:pt idx="167">
                  <c:v>1076</c:v>
                </c:pt>
                <c:pt idx="168">
                  <c:v>1038</c:v>
                </c:pt>
                <c:pt idx="169">
                  <c:v>1025.3333333333333</c:v>
                </c:pt>
                <c:pt idx="170">
                  <c:v>1035</c:v>
                </c:pt>
                <c:pt idx="171">
                  <c:v>1041</c:v>
                </c:pt>
                <c:pt idx="172">
                  <c:v>1057.5</c:v>
                </c:pt>
                <c:pt idx="173">
                  <c:v>1060.5</c:v>
                </c:pt>
                <c:pt idx="174">
                  <c:v>1037</c:v>
                </c:pt>
                <c:pt idx="175">
                  <c:v>1030.6666666666667</c:v>
                </c:pt>
                <c:pt idx="176">
                  <c:v>1053</c:v>
                </c:pt>
                <c:pt idx="177">
                  <c:v>1036</c:v>
                </c:pt>
                <c:pt idx="178">
                  <c:v>1044</c:v>
                </c:pt>
                <c:pt idx="179">
                  <c:v>1071</c:v>
                </c:pt>
                <c:pt idx="180">
                  <c:v>1061</c:v>
                </c:pt>
                <c:pt idx="181">
                  <c:v>1051</c:v>
                </c:pt>
                <c:pt idx="182">
                  <c:v>1040.5</c:v>
                </c:pt>
                <c:pt idx="183">
                  <c:v>1066</c:v>
                </c:pt>
                <c:pt idx="184">
                  <c:v>1029</c:v>
                </c:pt>
                <c:pt idx="185">
                  <c:v>1067</c:v>
                </c:pt>
                <c:pt idx="186">
                  <c:v>1054</c:v>
                </c:pt>
                <c:pt idx="187">
                  <c:v>1051.2</c:v>
                </c:pt>
                <c:pt idx="188">
                  <c:v>1042</c:v>
                </c:pt>
                <c:pt idx="189">
                  <c:v>1086</c:v>
                </c:pt>
                <c:pt idx="190">
                  <c:v>1047</c:v>
                </c:pt>
                <c:pt idx="191">
                  <c:v>1058.5</c:v>
                </c:pt>
                <c:pt idx="192">
                  <c:v>1042.3333333333333</c:v>
                </c:pt>
                <c:pt idx="193">
                  <c:v>1026.3333333333333</c:v>
                </c:pt>
                <c:pt idx="194">
                  <c:v>1046</c:v>
                </c:pt>
                <c:pt idx="195">
                  <c:v>1034.5</c:v>
                </c:pt>
                <c:pt idx="196">
                  <c:v>1017</c:v>
                </c:pt>
                <c:pt idx="197">
                  <c:v>1046.2</c:v>
                </c:pt>
                <c:pt idx="198">
                  <c:v>1040.3333333333333</c:v>
                </c:pt>
                <c:pt idx="199">
                  <c:v>1076</c:v>
                </c:pt>
                <c:pt idx="200">
                  <c:v>1067.6666666666667</c:v>
                </c:pt>
                <c:pt idx="201">
                  <c:v>1042.25</c:v>
                </c:pt>
                <c:pt idx="202">
                  <c:v>1039</c:v>
                </c:pt>
                <c:pt idx="203">
                  <c:v>1049</c:v>
                </c:pt>
                <c:pt idx="204">
                  <c:v>1098</c:v>
                </c:pt>
                <c:pt idx="205">
                  <c:v>1025</c:v>
                </c:pt>
                <c:pt idx="206">
                  <c:v>1015</c:v>
                </c:pt>
                <c:pt idx="207">
                  <c:v>1070</c:v>
                </c:pt>
                <c:pt idx="208">
                  <c:v>1053.6666666666667</c:v>
                </c:pt>
                <c:pt idx="209">
                  <c:v>1070.25</c:v>
                </c:pt>
                <c:pt idx="210">
                  <c:v>1068</c:v>
                </c:pt>
                <c:pt idx="211">
                  <c:v>1002</c:v>
                </c:pt>
                <c:pt idx="212">
                  <c:v>1051</c:v>
                </c:pt>
                <c:pt idx="213">
                  <c:v>1054.3333333333333</c:v>
                </c:pt>
                <c:pt idx="214">
                  <c:v>1019.6666666666666</c:v>
                </c:pt>
                <c:pt idx="215">
                  <c:v>1027.75</c:v>
                </c:pt>
                <c:pt idx="216">
                  <c:v>1015.5</c:v>
                </c:pt>
                <c:pt idx="217">
                  <c:v>1074</c:v>
                </c:pt>
                <c:pt idx="218">
                  <c:v>1046</c:v>
                </c:pt>
                <c:pt idx="219">
                  <c:v>1045.5</c:v>
                </c:pt>
                <c:pt idx="220">
                  <c:v>1047</c:v>
                </c:pt>
                <c:pt idx="221">
                  <c:v>1045</c:v>
                </c:pt>
                <c:pt idx="222">
                  <c:v>1036.8</c:v>
                </c:pt>
                <c:pt idx="223">
                  <c:v>1051</c:v>
                </c:pt>
                <c:pt idx="224">
                  <c:v>1047.3333333333333</c:v>
                </c:pt>
                <c:pt idx="225">
                  <c:v>1069</c:v>
                </c:pt>
                <c:pt idx="226">
                  <c:v>1059.8333333333333</c:v>
                </c:pt>
                <c:pt idx="227">
                  <c:v>1053</c:v>
                </c:pt>
                <c:pt idx="228">
                  <c:v>1022.8</c:v>
                </c:pt>
                <c:pt idx="229">
                  <c:v>1056.4000000000001</c:v>
                </c:pt>
                <c:pt idx="230">
                  <c:v>1090</c:v>
                </c:pt>
                <c:pt idx="231">
                  <c:v>1005</c:v>
                </c:pt>
                <c:pt idx="232">
                  <c:v>1067.3333333333333</c:v>
                </c:pt>
                <c:pt idx="233">
                  <c:v>1092</c:v>
                </c:pt>
                <c:pt idx="234">
                  <c:v>1031.5</c:v>
                </c:pt>
                <c:pt idx="235">
                  <c:v>1081.6666666666667</c:v>
                </c:pt>
                <c:pt idx="236">
                  <c:v>1042.25</c:v>
                </c:pt>
                <c:pt idx="237">
                  <c:v>1099</c:v>
                </c:pt>
                <c:pt idx="238">
                  <c:v>1016</c:v>
                </c:pt>
                <c:pt idx="239">
                  <c:v>1043.25</c:v>
                </c:pt>
                <c:pt idx="240">
                  <c:v>1070.5</c:v>
                </c:pt>
                <c:pt idx="241">
                  <c:v>1055</c:v>
                </c:pt>
                <c:pt idx="242">
                  <c:v>1044.5999999999999</c:v>
                </c:pt>
                <c:pt idx="243">
                  <c:v>1052.5</c:v>
                </c:pt>
                <c:pt idx="244">
                  <c:v>1058</c:v>
                </c:pt>
                <c:pt idx="245">
                  <c:v>1039</c:v>
                </c:pt>
                <c:pt idx="246">
                  <c:v>1080</c:v>
                </c:pt>
                <c:pt idx="247">
                  <c:v>1050</c:v>
                </c:pt>
                <c:pt idx="248">
                  <c:v>1020</c:v>
                </c:pt>
                <c:pt idx="249">
                  <c:v>1033</c:v>
                </c:pt>
                <c:pt idx="250">
                  <c:v>1049.4000000000001</c:v>
                </c:pt>
                <c:pt idx="251">
                  <c:v>1049.4333333333334</c:v>
                </c:pt>
                <c:pt idx="252">
                  <c:v>1049.4666666666667</c:v>
                </c:pt>
                <c:pt idx="253">
                  <c:v>1049.5</c:v>
                </c:pt>
                <c:pt idx="254">
                  <c:v>1014</c:v>
                </c:pt>
                <c:pt idx="255">
                  <c:v>1037</c:v>
                </c:pt>
                <c:pt idx="256">
                  <c:v>1042</c:v>
                </c:pt>
                <c:pt idx="257">
                  <c:v>1054</c:v>
                </c:pt>
                <c:pt idx="258">
                  <c:v>1009</c:v>
                </c:pt>
                <c:pt idx="259">
                  <c:v>1100</c:v>
                </c:pt>
                <c:pt idx="260">
                  <c:v>1049.8</c:v>
                </c:pt>
                <c:pt idx="261">
                  <c:v>1030</c:v>
                </c:pt>
                <c:pt idx="262">
                  <c:v>1097</c:v>
                </c:pt>
                <c:pt idx="263">
                  <c:v>1059.5999999999999</c:v>
                </c:pt>
                <c:pt idx="264">
                  <c:v>1015</c:v>
                </c:pt>
                <c:pt idx="265">
                  <c:v>1076.3333333333333</c:v>
                </c:pt>
                <c:pt idx="266">
                  <c:v>1050.4000000000001</c:v>
                </c:pt>
                <c:pt idx="267">
                  <c:v>1052.5</c:v>
                </c:pt>
                <c:pt idx="268">
                  <c:v>1038</c:v>
                </c:pt>
                <c:pt idx="269">
                  <c:v>1064.3333333333333</c:v>
                </c:pt>
                <c:pt idx="270">
                  <c:v>1026.5</c:v>
                </c:pt>
                <c:pt idx="271">
                  <c:v>1036</c:v>
                </c:pt>
                <c:pt idx="272">
                  <c:v>1051.6666666666667</c:v>
                </c:pt>
                <c:pt idx="273">
                  <c:v>1087</c:v>
                </c:pt>
                <c:pt idx="274">
                  <c:v>1073</c:v>
                </c:pt>
                <c:pt idx="275">
                  <c:v>1078.25</c:v>
                </c:pt>
                <c:pt idx="276">
                  <c:v>1083.5</c:v>
                </c:pt>
                <c:pt idx="277">
                  <c:v>1064.5</c:v>
                </c:pt>
                <c:pt idx="278">
                  <c:v>1060</c:v>
                </c:pt>
                <c:pt idx="279">
                  <c:v>1055.5</c:v>
                </c:pt>
                <c:pt idx="280">
                  <c:v>1016.5</c:v>
                </c:pt>
                <c:pt idx="281">
                  <c:v>1071</c:v>
                </c:pt>
                <c:pt idx="282">
                  <c:v>1001</c:v>
                </c:pt>
                <c:pt idx="283">
                  <c:v>1019</c:v>
                </c:pt>
                <c:pt idx="284">
                  <c:v>1046.5</c:v>
                </c:pt>
                <c:pt idx="285">
                  <c:v>1053.5</c:v>
                </c:pt>
                <c:pt idx="286">
                  <c:v>1039</c:v>
                </c:pt>
                <c:pt idx="287">
                  <c:v>1057.7142857142858</c:v>
                </c:pt>
                <c:pt idx="288">
                  <c:v>1044.8571428571429</c:v>
                </c:pt>
                <c:pt idx="289">
                  <c:v>1064.1785714285716</c:v>
                </c:pt>
                <c:pt idx="290">
                  <c:v>1083.5</c:v>
                </c:pt>
                <c:pt idx="291">
                  <c:v>1069</c:v>
                </c:pt>
                <c:pt idx="292">
                  <c:v>1052.875</c:v>
                </c:pt>
                <c:pt idx="293">
                  <c:v>1043</c:v>
                </c:pt>
                <c:pt idx="294">
                  <c:v>1057</c:v>
                </c:pt>
                <c:pt idx="295">
                  <c:v>1052.8</c:v>
                </c:pt>
                <c:pt idx="296">
                  <c:v>1056.5</c:v>
                </c:pt>
                <c:pt idx="297">
                  <c:v>1076.75</c:v>
                </c:pt>
                <c:pt idx="298">
                  <c:v>1097</c:v>
                </c:pt>
                <c:pt idx="299">
                  <c:v>1088</c:v>
                </c:pt>
                <c:pt idx="300">
                  <c:v>1071</c:v>
                </c:pt>
                <c:pt idx="301">
                  <c:v>1033.5999999999999</c:v>
                </c:pt>
                <c:pt idx="302">
                  <c:v>1059.8</c:v>
                </c:pt>
                <c:pt idx="303">
                  <c:v>1033</c:v>
                </c:pt>
                <c:pt idx="304">
                  <c:v>1052.3333333333333</c:v>
                </c:pt>
                <c:pt idx="305">
                  <c:v>1069</c:v>
                </c:pt>
                <c:pt idx="306">
                  <c:v>1043</c:v>
                </c:pt>
                <c:pt idx="307">
                  <c:v>1060</c:v>
                </c:pt>
                <c:pt idx="308">
                  <c:v>1077</c:v>
                </c:pt>
                <c:pt idx="309">
                  <c:v>1056.75</c:v>
                </c:pt>
                <c:pt idx="310">
                  <c:v>1084.75</c:v>
                </c:pt>
                <c:pt idx="311">
                  <c:v>1055.5</c:v>
                </c:pt>
                <c:pt idx="312">
                  <c:v>1026.5999999999999</c:v>
                </c:pt>
                <c:pt idx="313">
                  <c:v>1054.5</c:v>
                </c:pt>
                <c:pt idx="314">
                  <c:v>1052</c:v>
                </c:pt>
                <c:pt idx="315">
                  <c:v>1034.5</c:v>
                </c:pt>
                <c:pt idx="316">
                  <c:v>1050</c:v>
                </c:pt>
                <c:pt idx="317">
                  <c:v>1049.125</c:v>
                </c:pt>
                <c:pt idx="318">
                  <c:v>1056.8333333333333</c:v>
                </c:pt>
                <c:pt idx="319">
                  <c:v>1057.6666666666667</c:v>
                </c:pt>
                <c:pt idx="320">
                  <c:v>1081</c:v>
                </c:pt>
                <c:pt idx="321">
                  <c:v>1033</c:v>
                </c:pt>
                <c:pt idx="322">
                  <c:v>1039.3333333333333</c:v>
                </c:pt>
                <c:pt idx="323">
                  <c:v>1050</c:v>
                </c:pt>
                <c:pt idx="324">
                  <c:v>1052.5</c:v>
                </c:pt>
                <c:pt idx="325">
                  <c:v>1055</c:v>
                </c:pt>
                <c:pt idx="326">
                  <c:v>1016</c:v>
                </c:pt>
                <c:pt idx="327">
                  <c:v>1039.7142857142858</c:v>
                </c:pt>
                <c:pt idx="328">
                  <c:v>1084.5</c:v>
                </c:pt>
                <c:pt idx="329">
                  <c:v>1057.8</c:v>
                </c:pt>
                <c:pt idx="330">
                  <c:v>1021</c:v>
                </c:pt>
                <c:pt idx="331">
                  <c:v>1046</c:v>
                </c:pt>
                <c:pt idx="332">
                  <c:v>1044</c:v>
                </c:pt>
                <c:pt idx="333">
                  <c:v>1082</c:v>
                </c:pt>
                <c:pt idx="334">
                  <c:v>1081</c:v>
                </c:pt>
                <c:pt idx="335">
                  <c:v>1077</c:v>
                </c:pt>
                <c:pt idx="336">
                  <c:v>1057.3333333333333</c:v>
                </c:pt>
                <c:pt idx="337">
                  <c:v>1038.5</c:v>
                </c:pt>
                <c:pt idx="338">
                  <c:v>1051</c:v>
                </c:pt>
                <c:pt idx="339">
                  <c:v>1079</c:v>
                </c:pt>
                <c:pt idx="340">
                  <c:v>1099</c:v>
                </c:pt>
                <c:pt idx="341">
                  <c:v>1044.6666666666667</c:v>
                </c:pt>
                <c:pt idx="342">
                  <c:v>1047.6333333333332</c:v>
                </c:pt>
                <c:pt idx="343">
                  <c:v>1050.5999999999999</c:v>
                </c:pt>
                <c:pt idx="344">
                  <c:v>1045</c:v>
                </c:pt>
                <c:pt idx="345">
                  <c:v>1052</c:v>
                </c:pt>
                <c:pt idx="346">
                  <c:v>1081</c:v>
                </c:pt>
                <c:pt idx="347">
                  <c:v>1070</c:v>
                </c:pt>
                <c:pt idx="348">
                  <c:v>1042.6666666666667</c:v>
                </c:pt>
                <c:pt idx="349">
                  <c:v>1070</c:v>
                </c:pt>
                <c:pt idx="350">
                  <c:v>1056.75</c:v>
                </c:pt>
                <c:pt idx="351">
                  <c:v>1043.5</c:v>
                </c:pt>
                <c:pt idx="352">
                  <c:v>1057.4000000000001</c:v>
                </c:pt>
                <c:pt idx="353">
                  <c:v>1058.75</c:v>
                </c:pt>
                <c:pt idx="354">
                  <c:v>1053</c:v>
                </c:pt>
                <c:pt idx="355">
                  <c:v>1032.5</c:v>
                </c:pt>
                <c:pt idx="356">
                  <c:v>1020</c:v>
                </c:pt>
                <c:pt idx="357">
                  <c:v>1030.7</c:v>
                </c:pt>
                <c:pt idx="358">
                  <c:v>1041.4000000000001</c:v>
                </c:pt>
                <c:pt idx="359">
                  <c:v>1056.75</c:v>
                </c:pt>
                <c:pt idx="360">
                  <c:v>1061.3333333333333</c:v>
                </c:pt>
                <c:pt idx="361">
                  <c:v>1075.5</c:v>
                </c:pt>
                <c:pt idx="362">
                  <c:v>1038.25</c:v>
                </c:pt>
                <c:pt idx="363">
                  <c:v>1048</c:v>
                </c:pt>
                <c:pt idx="364">
                  <c:v>1066.2</c:v>
                </c:pt>
                <c:pt idx="365">
                  <c:v>1064.6666666666667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6C-431E-B4C1-92149BE413D9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Forecast(Product_ID)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Forecast!$A$2:$A$459</c:f>
              <c:numCache>
                <c:formatCode>m/d/yyyy</c:formatCode>
                <c:ptCount val="458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</c:numCache>
            </c:numRef>
          </c:cat>
          <c:val>
            <c:numRef>
              <c:f>Forecast!$C$2:$C$459</c:f>
              <c:numCache>
                <c:formatCode>General</c:formatCode>
                <c:ptCount val="458"/>
                <c:pt idx="365">
                  <c:v>1064.6666666666667</c:v>
                </c:pt>
                <c:pt idx="366">
                  <c:v>1064.6849975675475</c:v>
                </c:pt>
                <c:pt idx="367">
                  <c:v>1064.7033284684283</c:v>
                </c:pt>
                <c:pt idx="368">
                  <c:v>1064.721659369309</c:v>
                </c:pt>
                <c:pt idx="369">
                  <c:v>1064.7399902701895</c:v>
                </c:pt>
                <c:pt idx="370">
                  <c:v>1064.7583211710703</c:v>
                </c:pt>
                <c:pt idx="371">
                  <c:v>1064.776652071951</c:v>
                </c:pt>
                <c:pt idx="372">
                  <c:v>1064.7949829728318</c:v>
                </c:pt>
                <c:pt idx="373">
                  <c:v>1064.8133138737126</c:v>
                </c:pt>
                <c:pt idx="374">
                  <c:v>1064.8316447745933</c:v>
                </c:pt>
                <c:pt idx="375">
                  <c:v>1064.8499756754741</c:v>
                </c:pt>
                <c:pt idx="376">
                  <c:v>1064.8683065763548</c:v>
                </c:pt>
                <c:pt idx="377">
                  <c:v>1064.8866374772354</c:v>
                </c:pt>
                <c:pt idx="378">
                  <c:v>1064.9049683781161</c:v>
                </c:pt>
                <c:pt idx="379">
                  <c:v>1064.9232992789969</c:v>
                </c:pt>
                <c:pt idx="380">
                  <c:v>1064.9416301798776</c:v>
                </c:pt>
                <c:pt idx="381">
                  <c:v>1064.9599610807584</c:v>
                </c:pt>
                <c:pt idx="382">
                  <c:v>1064.9782919816391</c:v>
                </c:pt>
                <c:pt idx="383">
                  <c:v>1064.9966228825199</c:v>
                </c:pt>
                <c:pt idx="384">
                  <c:v>1065.0149537834006</c:v>
                </c:pt>
                <c:pt idx="385">
                  <c:v>1065.0332846842812</c:v>
                </c:pt>
                <c:pt idx="386">
                  <c:v>1065.0516155851619</c:v>
                </c:pt>
                <c:pt idx="387">
                  <c:v>1065.0699464860427</c:v>
                </c:pt>
                <c:pt idx="388">
                  <c:v>1065.0882773869234</c:v>
                </c:pt>
                <c:pt idx="389">
                  <c:v>1065.1066082878042</c:v>
                </c:pt>
                <c:pt idx="390">
                  <c:v>1065.1249391886849</c:v>
                </c:pt>
                <c:pt idx="391">
                  <c:v>1065.1432700895657</c:v>
                </c:pt>
                <c:pt idx="392">
                  <c:v>1065.1616009904462</c:v>
                </c:pt>
                <c:pt idx="393">
                  <c:v>1065.179931891327</c:v>
                </c:pt>
                <c:pt idx="394">
                  <c:v>1065.1982627922077</c:v>
                </c:pt>
                <c:pt idx="395">
                  <c:v>1065.2165936930885</c:v>
                </c:pt>
                <c:pt idx="396">
                  <c:v>1065.2349245939693</c:v>
                </c:pt>
                <c:pt idx="397">
                  <c:v>1065.25325549485</c:v>
                </c:pt>
                <c:pt idx="398">
                  <c:v>1065.2715863957308</c:v>
                </c:pt>
                <c:pt idx="399">
                  <c:v>1065.2899172966115</c:v>
                </c:pt>
                <c:pt idx="400">
                  <c:v>1065.308248197492</c:v>
                </c:pt>
                <c:pt idx="401">
                  <c:v>1065.3265790983728</c:v>
                </c:pt>
                <c:pt idx="402">
                  <c:v>1065.3449099992536</c:v>
                </c:pt>
                <c:pt idx="403">
                  <c:v>1065.3632409001343</c:v>
                </c:pt>
                <c:pt idx="404">
                  <c:v>1065.3815718010151</c:v>
                </c:pt>
                <c:pt idx="405">
                  <c:v>1065.3999027018958</c:v>
                </c:pt>
                <c:pt idx="406">
                  <c:v>1065.4182336027766</c:v>
                </c:pt>
                <c:pt idx="407">
                  <c:v>1065.4365645036573</c:v>
                </c:pt>
                <c:pt idx="408">
                  <c:v>1065.4548954045379</c:v>
                </c:pt>
                <c:pt idx="409">
                  <c:v>1065.4732263054186</c:v>
                </c:pt>
                <c:pt idx="410">
                  <c:v>1065.4915572062994</c:v>
                </c:pt>
                <c:pt idx="411">
                  <c:v>1065.5098881071801</c:v>
                </c:pt>
                <c:pt idx="412">
                  <c:v>1065.5282190080609</c:v>
                </c:pt>
                <c:pt idx="413">
                  <c:v>1065.5465499089416</c:v>
                </c:pt>
                <c:pt idx="414">
                  <c:v>1065.5648808098224</c:v>
                </c:pt>
                <c:pt idx="415">
                  <c:v>1065.5832117107029</c:v>
                </c:pt>
                <c:pt idx="416">
                  <c:v>1065.6015426115837</c:v>
                </c:pt>
                <c:pt idx="417">
                  <c:v>1065.6198735124644</c:v>
                </c:pt>
                <c:pt idx="418">
                  <c:v>1065.6382044133452</c:v>
                </c:pt>
                <c:pt idx="419">
                  <c:v>1065.6565353142259</c:v>
                </c:pt>
                <c:pt idx="420">
                  <c:v>1065.6748662151067</c:v>
                </c:pt>
                <c:pt idx="421">
                  <c:v>1065.6931971159875</c:v>
                </c:pt>
                <c:pt idx="422">
                  <c:v>1065.7115280168682</c:v>
                </c:pt>
                <c:pt idx="423">
                  <c:v>1065.7298589177487</c:v>
                </c:pt>
                <c:pt idx="424">
                  <c:v>1065.7481898186295</c:v>
                </c:pt>
                <c:pt idx="425">
                  <c:v>1065.7665207195103</c:v>
                </c:pt>
                <c:pt idx="426">
                  <c:v>1065.784851620391</c:v>
                </c:pt>
                <c:pt idx="427">
                  <c:v>1065.8031825212718</c:v>
                </c:pt>
                <c:pt idx="428">
                  <c:v>1065.8215134221525</c:v>
                </c:pt>
                <c:pt idx="429">
                  <c:v>1065.8398443230333</c:v>
                </c:pt>
                <c:pt idx="430">
                  <c:v>1065.858175223914</c:v>
                </c:pt>
                <c:pt idx="431">
                  <c:v>1065.8765061247946</c:v>
                </c:pt>
                <c:pt idx="432">
                  <c:v>1065.8948370256753</c:v>
                </c:pt>
                <c:pt idx="433">
                  <c:v>1065.9131679265561</c:v>
                </c:pt>
                <c:pt idx="434">
                  <c:v>1065.9314988274368</c:v>
                </c:pt>
                <c:pt idx="435">
                  <c:v>1065.9498297283176</c:v>
                </c:pt>
                <c:pt idx="436">
                  <c:v>1065.9681606291983</c:v>
                </c:pt>
                <c:pt idx="437">
                  <c:v>1065.9864915300791</c:v>
                </c:pt>
                <c:pt idx="438">
                  <c:v>1066.0048224309596</c:v>
                </c:pt>
                <c:pt idx="439">
                  <c:v>1066.0231533318404</c:v>
                </c:pt>
                <c:pt idx="440">
                  <c:v>1066.0414842327211</c:v>
                </c:pt>
                <c:pt idx="441">
                  <c:v>1066.0598151336019</c:v>
                </c:pt>
                <c:pt idx="442">
                  <c:v>1066.0781460344826</c:v>
                </c:pt>
                <c:pt idx="443">
                  <c:v>1066.0964769353634</c:v>
                </c:pt>
                <c:pt idx="444">
                  <c:v>1066.1148078362442</c:v>
                </c:pt>
                <c:pt idx="445">
                  <c:v>1066.1331387371249</c:v>
                </c:pt>
                <c:pt idx="446">
                  <c:v>1066.1514696380054</c:v>
                </c:pt>
                <c:pt idx="447">
                  <c:v>1066.1698005388862</c:v>
                </c:pt>
                <c:pt idx="448">
                  <c:v>1066.1881314397669</c:v>
                </c:pt>
                <c:pt idx="449">
                  <c:v>1066.2064623406477</c:v>
                </c:pt>
                <c:pt idx="450">
                  <c:v>1066.2247932415285</c:v>
                </c:pt>
                <c:pt idx="451">
                  <c:v>1066.2431241424092</c:v>
                </c:pt>
                <c:pt idx="452">
                  <c:v>1066.26145504329</c:v>
                </c:pt>
                <c:pt idx="453">
                  <c:v>1066.2797859441707</c:v>
                </c:pt>
                <c:pt idx="454">
                  <c:v>1066.2981168450513</c:v>
                </c:pt>
                <c:pt idx="455">
                  <c:v>1066.316447745932</c:v>
                </c:pt>
                <c:pt idx="456">
                  <c:v>1066.3347786468128</c:v>
                </c:pt>
                <c:pt idx="457">
                  <c:v>1066.3531095476935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6C-431E-B4C1-92149BE413D9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Bound(Product_ID)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457"/>
              <c:layout>
                <c:manualLayout>
                  <c:x val="-1.0778765831312315E-2"/>
                  <c:y val="2.9600394671928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16C-431E-B4C1-92149BE413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Forecast!$A$2:$A$459</c:f>
              <c:numCache>
                <c:formatCode>m/d/yyyy</c:formatCode>
                <c:ptCount val="458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</c:numCache>
            </c:numRef>
          </c:cat>
          <c:val>
            <c:numRef>
              <c:f>Forecast!$D$2:$D$459</c:f>
              <c:numCache>
                <c:formatCode>General</c:formatCode>
                <c:ptCount val="458"/>
                <c:pt idx="365" formatCode="0.00">
                  <c:v>1064.6666666666667</c:v>
                </c:pt>
                <c:pt idx="366" formatCode="0.00">
                  <c:v>1024.6750090974772</c:v>
                </c:pt>
                <c:pt idx="367" formatCode="0.00">
                  <c:v>1024.4897868464379</c:v>
                </c:pt>
                <c:pt idx="368" formatCode="0.00">
                  <c:v>1024.301569755047</c:v>
                </c:pt>
                <c:pt idx="369" formatCode="0.00">
                  <c:v>1024.1103640979277</c:v>
                </c:pt>
                <c:pt idx="370" formatCode="0.00">
                  <c:v>1023.9161766779094</c:v>
                </c:pt>
                <c:pt idx="371" formatCode="0.00">
                  <c:v>1023.7190148076029</c:v>
                </c:pt>
                <c:pt idx="372" formatCode="0.00">
                  <c:v>1023.5188862910018</c:v>
                </c:pt>
                <c:pt idx="373" formatCode="0.00">
                  <c:v>1023.3157994051381</c:v>
                </c:pt>
                <c:pt idx="374" formatCode="0.00">
                  <c:v>1023.1097628818209</c:v>
                </c:pt>
                <c:pt idx="375" formatCode="0.00">
                  <c:v>1022.9007858894861</c:v>
                </c:pt>
                <c:pt idx="376" formatCode="0.00">
                  <c:v>1022.688878015182</c:v>
                </c:pt>
                <c:pt idx="377" formatCode="0.00">
                  <c:v>1022.4740492467167</c:v>
                </c:pt>
                <c:pt idx="378" formatCode="0.00">
                  <c:v>1022.2563099549897</c:v>
                </c:pt>
                <c:pt idx="379" formatCode="0.00">
                  <c:v>1022.0356708765261</c:v>
                </c:pt>
                <c:pt idx="380" formatCode="0.00">
                  <c:v>1021.8121430962409</c:v>
                </c:pt>
                <c:pt idx="381" formatCode="0.00">
                  <c:v>1021.5857380304445</c:v>
                </c:pt>
                <c:pt idx="382" formatCode="0.00">
                  <c:v>1021.3564674101115</c:v>
                </c:pt>
                <c:pt idx="383" formatCode="0.00">
                  <c:v>1021.124343264426</c:v>
                </c:pt>
                <c:pt idx="384" formatCode="0.00">
                  <c:v>1020.8893779046203</c:v>
                </c:pt>
                <c:pt idx="385" formatCode="0.00">
                  <c:v>1020.6515839081189</c:v>
                </c:pt>
                <c:pt idx="386" formatCode="0.00">
                  <c:v>1020.410974102999</c:v>
                </c:pt>
                <c:pt idx="387" formatCode="0.00">
                  <c:v>1020.1675615527794</c:v>
                </c:pt>
                <c:pt idx="388" formatCode="0.00">
                  <c:v>1019.9213595415467</c:v>
                </c:pt>
                <c:pt idx="389" formatCode="0.00">
                  <c:v>1019.6723815594278</c:v>
                </c:pt>
                <c:pt idx="390" formatCode="0.00">
                  <c:v>1019.4206412884126</c:v>
                </c:pt>
                <c:pt idx="391" formatCode="0.00">
                  <c:v>1019.1661525885379</c:v>
                </c:pt>
                <c:pt idx="392" formatCode="0.00">
                  <c:v>1018.9089294844313</c:v>
                </c:pt>
                <c:pt idx="393" formatCode="0.00">
                  <c:v>1018.6489861522255</c:v>
                </c:pt>
                <c:pt idx="394" formatCode="0.00">
                  <c:v>1018.3863369068382</c:v>
                </c:pt>
                <c:pt idx="395" formatCode="0.00">
                  <c:v>1018.1209961896272</c:v>
                </c:pt>
                <c:pt idx="396" formatCode="0.00">
                  <c:v>1017.8529785564153</c:v>
                </c:pt>
                <c:pt idx="397" formatCode="0.00">
                  <c:v>1017.5822986658897</c:v>
                </c:pt>
                <c:pt idx="398" formatCode="0.00">
                  <c:v>1017.3089712683716</c:v>
                </c:pt>
                <c:pt idx="399" formatCode="0.00">
                  <c:v>1017.0330111949582</c:v>
                </c:pt>
                <c:pt idx="400" formatCode="0.00">
                  <c:v>1016.7544333470323</c:v>
                </c:pt>
                <c:pt idx="401" formatCode="0.00">
                  <c:v>1016.4732526861377</c:v>
                </c:pt>
                <c:pt idx="402" formatCode="0.00">
                  <c:v>1016.1894842242172</c:v>
                </c:pt>
                <c:pt idx="403" formatCode="0.00">
                  <c:v>1015.9031430142094</c:v>
                </c:pt>
                <c:pt idx="404" formatCode="0.00">
                  <c:v>1015.614244141001</c:v>
                </c:pt>
                <c:pt idx="405" formatCode="0.00">
                  <c:v>1015.3228027127265</c:v>
                </c:pt>
                <c:pt idx="406" formatCode="0.00">
                  <c:v>1015.0288338524142</c:v>
                </c:pt>
                <c:pt idx="407" formatCode="0.00">
                  <c:v>1014.7323526899705</c:v>
                </c:pt>
                <c:pt idx="408" formatCode="0.00">
                  <c:v>1014.4333743544966</c:v>
                </c:pt>
                <c:pt idx="409" formatCode="0.00">
                  <c:v>1014.1319139669328</c:v>
                </c:pt>
                <c:pt idx="410" formatCode="0.00">
                  <c:v>1013.8279866330221</c:v>
                </c:pt>
                <c:pt idx="411" formatCode="0.00">
                  <c:v>1013.5216074365875</c:v>
                </c:pt>
                <c:pt idx="412" formatCode="0.00">
                  <c:v>1013.2127914331165</c:v>
                </c:pt>
                <c:pt idx="413" formatCode="0.00">
                  <c:v>1012.9015536436445</c:v>
                </c:pt>
                <c:pt idx="414" formatCode="0.00">
                  <c:v>1012.5879090489302</c:v>
                </c:pt>
                <c:pt idx="415" formatCode="0.00">
                  <c:v>1012.271872583916</c:v>
                </c:pt>
                <c:pt idx="416" formatCode="0.00">
                  <c:v>1011.9534591324675</c:v>
                </c:pt>
                <c:pt idx="417" formatCode="0.00">
                  <c:v>1011.6326835223792</c:v>
                </c:pt>
                <c:pt idx="418" formatCode="0.00">
                  <c:v>1011.3095605206469</c:v>
                </c:pt>
                <c:pt idx="419" formatCode="0.00">
                  <c:v>1010.9841048289915</c:v>
                </c:pt>
                <c:pt idx="420" formatCode="0.00">
                  <c:v>1010.6563310796323</c:v>
                </c:pt>
                <c:pt idx="421" formatCode="0.00">
                  <c:v>1010.3262538312994</c:v>
                </c:pt>
                <c:pt idx="422" formatCode="0.00">
                  <c:v>1009.9938875654773</c:v>
                </c:pt>
                <c:pt idx="423" formatCode="0.00">
                  <c:v>1009.6592466828748</c:v>
                </c:pt>
                <c:pt idx="424" formatCode="0.00">
                  <c:v>1009.3223455001119</c:v>
                </c:pt>
                <c:pt idx="425" formatCode="0.00">
                  <c:v>1008.9831982466151</c:v>
                </c:pt>
                <c:pt idx="426" formatCode="0.00">
                  <c:v>1008.6418190617176</c:v>
                </c:pt>
                <c:pt idx="427" formatCode="0.00">
                  <c:v>1008.2982219919544</c:v>
                </c:pt>
                <c:pt idx="428" formatCode="0.00">
                  <c:v>1007.9524209885452</c:v>
                </c:pt>
                <c:pt idx="429" formatCode="0.00">
                  <c:v>1007.6044299050602</c:v>
                </c:pt>
                <c:pt idx="430" formatCode="0.00">
                  <c:v>1007.2542624952596</c:v>
                </c:pt>
                <c:pt idx="431" formatCode="0.00">
                  <c:v>1006.9019324111017</c:v>
                </c:pt>
                <c:pt idx="432" formatCode="0.00">
                  <c:v>1006.5474532009141</c:v>
                </c:pt>
                <c:pt idx="433" formatCode="0.00">
                  <c:v>1006.1908383077163</c:v>
                </c:pt>
                <c:pt idx="434" formatCode="0.00">
                  <c:v>1005.8321010676956</c:v>
                </c:pt>
                <c:pt idx="435" formatCode="0.00">
                  <c:v>1005.4712547088233</c:v>
                </c:pt>
                <c:pt idx="436" formatCode="0.00">
                  <c:v>1005.1083123496081</c:v>
                </c:pt>
                <c:pt idx="437" formatCode="0.00">
                  <c:v>1004.7432869979813</c:v>
                </c:pt>
                <c:pt idx="438" formatCode="0.00">
                  <c:v>1004.3761915503062</c:v>
                </c:pt>
                <c:pt idx="439" formatCode="0.00">
                  <c:v>1004.0070387905093</c:v>
                </c:pt>
                <c:pt idx="440" formatCode="0.00">
                  <c:v>1003.6358413893236</c:v>
                </c:pt>
                <c:pt idx="441" formatCode="0.00">
                  <c:v>1003.2626119036426</c:v>
                </c:pt>
                <c:pt idx="442" formatCode="0.00">
                  <c:v>1002.887362775979</c:v>
                </c:pt>
                <c:pt idx="443" formatCode="0.00">
                  <c:v>1002.5101063340217</c:v>
                </c:pt>
                <c:pt idx="444" formatCode="0.00">
                  <c:v>1002.1308547902879</c:v>
                </c:pt>
                <c:pt idx="445" formatCode="0.00">
                  <c:v>1001.7496202418655</c:v>
                </c:pt>
                <c:pt idx="446" formatCode="0.00">
                  <c:v>1001.3664146702401</c:v>
                </c:pt>
                <c:pt idx="447" formatCode="0.00">
                  <c:v>1000.9812499412056</c:v>
                </c:pt>
                <c:pt idx="448" formatCode="0.00">
                  <c:v>1000.5941378048485</c:v>
                </c:pt>
                <c:pt idx="449" formatCode="0.00">
                  <c:v>1000.205089895608</c:v>
                </c:pt>
                <c:pt idx="450" formatCode="0.00">
                  <c:v>999.81411773240529</c:v>
                </c:pt>
                <c:pt idx="451" formatCode="0.00">
                  <c:v>999.42123271883668</c:v>
                </c:pt>
                <c:pt idx="452" formatCode="0.00">
                  <c:v>999.02644614343046</c:v>
                </c:pt>
                <c:pt idx="453" formatCode="0.00">
                  <c:v>998.62976917996127</c:v>
                </c:pt>
                <c:pt idx="454" formatCode="0.00">
                  <c:v>998.23121288781977</c:v>
                </c:pt>
                <c:pt idx="455" formatCode="0.00">
                  <c:v>997.83078821243555</c:v>
                </c:pt>
                <c:pt idx="456" formatCode="0.00">
                  <c:v>997.42850598574637</c:v>
                </c:pt>
                <c:pt idx="457" formatCode="0.00">
                  <c:v>997.0243769267156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6C-431E-B4C1-92149BE413D9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Bound(Product_ID)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365"/>
              <c:layout>
                <c:manualLayout>
                  <c:x val="2.6946914578281776E-3"/>
                  <c:y val="-3.946719289590527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1065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16C-431E-B4C1-92149BE413D9}"/>
                </c:ext>
              </c:extLst>
            </c:dLbl>
            <c:dLbl>
              <c:idx val="456"/>
              <c:layout>
                <c:manualLayout>
                  <c:x val="-3.2336297493936947E-2"/>
                  <c:y val="-9.86679822397632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16C-431E-B4C1-92149BE413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Forecast!$A$2:$A$459</c:f>
              <c:numCache>
                <c:formatCode>m/d/yyyy</c:formatCode>
                <c:ptCount val="458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</c:numCache>
            </c:numRef>
          </c:cat>
          <c:val>
            <c:numRef>
              <c:f>Forecast!$E$2:$E$459</c:f>
              <c:numCache>
                <c:formatCode>General</c:formatCode>
                <c:ptCount val="458"/>
                <c:pt idx="365" formatCode="0.00">
                  <c:v>1064.6666666666667</c:v>
                </c:pt>
                <c:pt idx="366" formatCode="0.00">
                  <c:v>1104.6949860376178</c:v>
                </c:pt>
                <c:pt idx="367" formatCode="0.00">
                  <c:v>1104.9168700904186</c:v>
                </c:pt>
                <c:pt idx="368" formatCode="0.00">
                  <c:v>1105.141748983571</c:v>
                </c:pt>
                <c:pt idx="369" formatCode="0.00">
                  <c:v>1105.3696164424514</c:v>
                </c:pt>
                <c:pt idx="370" formatCode="0.00">
                  <c:v>1105.600465664231</c:v>
                </c:pt>
                <c:pt idx="371" formatCode="0.00">
                  <c:v>1105.8342893362992</c:v>
                </c:pt>
                <c:pt idx="372" formatCode="0.00">
                  <c:v>1106.0710796546618</c:v>
                </c:pt>
                <c:pt idx="373" formatCode="0.00">
                  <c:v>1106.3108283422871</c:v>
                </c:pt>
                <c:pt idx="374" formatCode="0.00">
                  <c:v>1106.5535266673658</c:v>
                </c:pt>
                <c:pt idx="375" formatCode="0.00">
                  <c:v>1106.7991654614621</c:v>
                </c:pt>
                <c:pt idx="376" formatCode="0.00">
                  <c:v>1107.0477351375278</c:v>
                </c:pt>
                <c:pt idx="377" formatCode="0.00">
                  <c:v>1107.299225707754</c:v>
                </c:pt>
                <c:pt idx="378" formatCode="0.00">
                  <c:v>1107.5536268012427</c:v>
                </c:pt>
                <c:pt idx="379" formatCode="0.00">
                  <c:v>1107.8109276814675</c:v>
                </c:pt>
                <c:pt idx="380" formatCode="0.00">
                  <c:v>1108.0711172635145</c:v>
                </c:pt>
                <c:pt idx="381" formatCode="0.00">
                  <c:v>1108.3341841310721</c:v>
                </c:pt>
                <c:pt idx="382" formatCode="0.00">
                  <c:v>1108.6001165531668</c:v>
                </c:pt>
                <c:pt idx="383" formatCode="0.00">
                  <c:v>1108.8689025006138</c:v>
                </c:pt>
                <c:pt idx="384" formatCode="0.00">
                  <c:v>1109.1405296621808</c:v>
                </c:pt>
                <c:pt idx="385" formatCode="0.00">
                  <c:v>1109.4149854604434</c:v>
                </c:pt>
                <c:pt idx="386" formatCode="0.00">
                  <c:v>1109.6922570673248</c:v>
                </c:pt>
                <c:pt idx="387" formatCode="0.00">
                  <c:v>1109.9723314193061</c:v>
                </c:pt>
                <c:pt idx="388" formatCode="0.00">
                  <c:v>1110.2551952323001</c:v>
                </c:pt>
                <c:pt idx="389" formatCode="0.00">
                  <c:v>1110.5408350161806</c:v>
                </c:pt>
                <c:pt idx="390" formatCode="0.00">
                  <c:v>1110.8292370889571</c:v>
                </c:pt>
                <c:pt idx="391" formatCode="0.00">
                  <c:v>1111.1203875905935</c:v>
                </c:pt>
                <c:pt idx="392" formatCode="0.00">
                  <c:v>1111.4142724964613</c:v>
                </c:pt>
                <c:pt idx="393" formatCode="0.00">
                  <c:v>1111.7108776304285</c:v>
                </c:pt>
                <c:pt idx="394" formatCode="0.00">
                  <c:v>1112.0101886775772</c:v>
                </c:pt>
                <c:pt idx="395" formatCode="0.00">
                  <c:v>1112.3121911965497</c:v>
                </c:pt>
                <c:pt idx="396" formatCode="0.00">
                  <c:v>1112.6168706315232</c:v>
                </c:pt>
                <c:pt idx="397" formatCode="0.00">
                  <c:v>1112.9242123238105</c:v>
                </c:pt>
                <c:pt idx="398" formatCode="0.00">
                  <c:v>1113.23420152309</c:v>
                </c:pt>
                <c:pt idx="399" formatCode="0.00">
                  <c:v>1113.5468233982647</c:v>
                </c:pt>
                <c:pt idx="400" formatCode="0.00">
                  <c:v>1113.8620630479518</c:v>
                </c:pt>
                <c:pt idx="401" formatCode="0.00">
                  <c:v>1114.1799055106078</c:v>
                </c:pt>
                <c:pt idx="402" formatCode="0.00">
                  <c:v>1114.5003357742901</c:v>
                </c:pt>
                <c:pt idx="403" formatCode="0.00">
                  <c:v>1114.8233387860591</c:v>
                </c:pt>
                <c:pt idx="404" formatCode="0.00">
                  <c:v>1115.1488994610293</c:v>
                </c:pt>
                <c:pt idx="405" formatCode="0.00">
                  <c:v>1115.4770026910653</c:v>
                </c:pt>
                <c:pt idx="406" formatCode="0.00">
                  <c:v>1115.807633353139</c:v>
                </c:pt>
                <c:pt idx="407" formatCode="0.00">
                  <c:v>1116.1407763173443</c:v>
                </c:pt>
                <c:pt idx="408" formatCode="0.00">
                  <c:v>1116.4764164545793</c:v>
                </c:pt>
                <c:pt idx="409" formatCode="0.00">
                  <c:v>1116.8145386439044</c:v>
                </c:pt>
                <c:pt idx="410" formatCode="0.00">
                  <c:v>1117.1551277795768</c:v>
                </c:pt>
                <c:pt idx="411" formatCode="0.00">
                  <c:v>1117.4981687777729</c:v>
                </c:pt>
                <c:pt idx="412" formatCode="0.00">
                  <c:v>1117.8436465830052</c:v>
                </c:pt>
                <c:pt idx="413" formatCode="0.00">
                  <c:v>1118.1915461742387</c:v>
                </c:pt>
                <c:pt idx="414" formatCode="0.00">
                  <c:v>1118.5418525707146</c:v>
                </c:pt>
                <c:pt idx="415" formatCode="0.00">
                  <c:v>1118.8945508374898</c:v>
                </c:pt>
                <c:pt idx="416" formatCode="0.00">
                  <c:v>1119.2496260906998</c:v>
                </c:pt>
                <c:pt idx="417" formatCode="0.00">
                  <c:v>1119.6070635025496</c:v>
                </c:pt>
                <c:pt idx="418" formatCode="0.00">
                  <c:v>1119.9668483060436</c:v>
                </c:pt>
                <c:pt idx="419" formatCode="0.00">
                  <c:v>1120.3289657994605</c:v>
                </c:pt>
                <c:pt idx="420" formatCode="0.00">
                  <c:v>1120.6934013505811</c:v>
                </c:pt>
                <c:pt idx="421" formatCode="0.00">
                  <c:v>1121.0601404006757</c:v>
                </c:pt>
                <c:pt idx="422" formatCode="0.00">
                  <c:v>1121.4291684682591</c:v>
                </c:pt>
                <c:pt idx="423" formatCode="0.00">
                  <c:v>1121.8004711526225</c:v>
                </c:pt>
                <c:pt idx="424" formatCode="0.00">
                  <c:v>1122.1740341371471</c:v>
                </c:pt>
                <c:pt idx="425" formatCode="0.00">
                  <c:v>1122.5498431924054</c:v>
                </c:pt>
                <c:pt idx="426" formatCode="0.00">
                  <c:v>1122.9278841790644</c:v>
                </c:pt>
                <c:pt idx="427" formatCode="0.00">
                  <c:v>1123.3081430505893</c:v>
                </c:pt>
                <c:pt idx="428" formatCode="0.00">
                  <c:v>1123.6906058557597</c:v>
                </c:pt>
                <c:pt idx="429" formatCode="0.00">
                  <c:v>1124.0752587410063</c:v>
                </c:pt>
                <c:pt idx="430" formatCode="0.00">
                  <c:v>1124.4620879525685</c:v>
                </c:pt>
                <c:pt idx="431" formatCode="0.00">
                  <c:v>1124.8510798384873</c:v>
                </c:pt>
                <c:pt idx="432" formatCode="0.00">
                  <c:v>1125.2422208504365</c:v>
                </c:pt>
                <c:pt idx="433" formatCode="0.00">
                  <c:v>1125.6354975453958</c:v>
                </c:pt>
                <c:pt idx="434" formatCode="0.00">
                  <c:v>1126.0308965871779</c:v>
                </c:pt>
                <c:pt idx="435" formatCode="0.00">
                  <c:v>1126.4284047478118</c:v>
                </c:pt>
                <c:pt idx="436" formatCode="0.00">
                  <c:v>1126.8280089087887</c:v>
                </c:pt>
                <c:pt idx="437" formatCode="0.00">
                  <c:v>1127.229696062177</c:v>
                </c:pt>
                <c:pt idx="438" formatCode="0.00">
                  <c:v>1127.633453311613</c:v>
                </c:pt>
                <c:pt idx="439" formatCode="0.00">
                  <c:v>1128.0392678731714</c:v>
                </c:pt>
                <c:pt idx="440" formatCode="0.00">
                  <c:v>1128.4471270761187</c:v>
                </c:pt>
                <c:pt idx="441" formatCode="0.00">
                  <c:v>1128.8570183635613</c:v>
                </c:pt>
                <c:pt idx="442" formatCode="0.00">
                  <c:v>1129.2689292929863</c:v>
                </c:pt>
                <c:pt idx="443" formatCode="0.00">
                  <c:v>1129.6828475367051</c:v>
                </c:pt>
                <c:pt idx="444" formatCode="0.00">
                  <c:v>1130.0987608822004</c:v>
                </c:pt>
                <c:pt idx="445" formatCode="0.00">
                  <c:v>1130.5166572323842</c:v>
                </c:pt>
                <c:pt idx="446" formatCode="0.00">
                  <c:v>1130.9365246057707</c:v>
                </c:pt>
                <c:pt idx="447" formatCode="0.00">
                  <c:v>1131.3583511365666</c:v>
                </c:pt>
                <c:pt idx="448" formatCode="0.00">
                  <c:v>1131.7821250746854</c:v>
                </c:pt>
                <c:pt idx="449" formatCode="0.00">
                  <c:v>1132.2078347856873</c:v>
                </c:pt>
                <c:pt idx="450" formatCode="0.00">
                  <c:v>1132.6354687506516</c:v>
                </c:pt>
                <c:pt idx="451" formatCode="0.00">
                  <c:v>1133.0650155659819</c:v>
                </c:pt>
                <c:pt idx="452" formatCode="0.00">
                  <c:v>1133.4964639431496</c:v>
                </c:pt>
                <c:pt idx="453" formatCode="0.00">
                  <c:v>1133.9298027083803</c:v>
                </c:pt>
                <c:pt idx="454" formatCode="0.00">
                  <c:v>1134.3650208022827</c:v>
                </c:pt>
                <c:pt idx="455" formatCode="0.00">
                  <c:v>1134.8021072794284</c:v>
                </c:pt>
                <c:pt idx="456" formatCode="0.00">
                  <c:v>1135.2410513078792</c:v>
                </c:pt>
                <c:pt idx="457" formatCode="0.00">
                  <c:v>1135.6818421686714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6C-431E-B4C1-92149BE41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639856"/>
        <c:axId val="1868543488"/>
      </c:lineChart>
      <c:catAx>
        <c:axId val="13726398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43488"/>
        <c:crosses val="autoZero"/>
        <c:auto val="1"/>
        <c:lblAlgn val="ctr"/>
        <c:lblOffset val="100"/>
        <c:noMultiLvlLbl val="0"/>
      </c:catAx>
      <c:valAx>
        <c:axId val="186854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63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[sales_data_edited.xlsx]Product Demand 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'Product Demand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Demand '!$A$4:$A$8</c:f>
              <c:strCache>
                <c:ptCount val="4"/>
                <c:pt idx="0">
                  <c:v>Clothing</c:v>
                </c:pt>
                <c:pt idx="1">
                  <c:v>Furniture</c:v>
                </c:pt>
                <c:pt idx="2">
                  <c:v>Electronics</c:v>
                </c:pt>
                <c:pt idx="3">
                  <c:v>Food</c:v>
                </c:pt>
              </c:strCache>
            </c:strRef>
          </c:cat>
          <c:val>
            <c:numRef>
              <c:f>'Product Demand '!$B$4:$B$8</c:f>
              <c:numCache>
                <c:formatCode>0.00%</c:formatCode>
                <c:ptCount val="4"/>
                <c:pt idx="0">
                  <c:v>0.27423219378965968</c:v>
                </c:pt>
                <c:pt idx="1">
                  <c:v>0.26063267471791962</c:v>
                </c:pt>
                <c:pt idx="2">
                  <c:v>0.24983727261271008</c:v>
                </c:pt>
                <c:pt idx="3">
                  <c:v>0.2152978588797107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AB-4023-B0FC-602978DB6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Seasonal Peaks and Troughs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'Seasonal Index'!$A$15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'Seasonal Index'!$B$13:$E$14</c:f>
              <c:multiLvlStrCache>
                <c:ptCount val="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'Seasonal Index'!$B$15:$E$15</c:f>
              <c:numCache>
                <c:formatCode>General</c:formatCode>
                <c:ptCount val="4"/>
                <c:pt idx="0">
                  <c:v>1.0357396568430548</c:v>
                </c:pt>
                <c:pt idx="1">
                  <c:v>0.93117157116950777</c:v>
                </c:pt>
                <c:pt idx="2">
                  <c:v>1.0187214181853015</c:v>
                </c:pt>
                <c:pt idx="3">
                  <c:v>1.016707759498469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A-4B3F-98D5-77F26036CC89}"/>
            </c:ext>
          </c:extLst>
        </c:ser>
        <c:ser>
          <c:idx val="1"/>
          <c:order val="1"/>
          <c:tx>
            <c:strRef>
              <c:f>'Seasonal Index'!$A$16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'Seasonal Index'!$B$13:$E$14</c:f>
              <c:multiLvlStrCache>
                <c:ptCount val="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'Seasonal Index'!$B$16:$E$16</c:f>
              <c:numCache>
                <c:formatCode>General</c:formatCode>
                <c:ptCount val="4"/>
                <c:pt idx="0">
                  <c:v>0.92204443391663837</c:v>
                </c:pt>
                <c:pt idx="1">
                  <c:v>1.0469080165068192</c:v>
                </c:pt>
                <c:pt idx="2">
                  <c:v>1.0554440291955589</c:v>
                </c:pt>
                <c:pt idx="3">
                  <c:v>0.96893586778137741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A-4B3F-98D5-77F26036CC89}"/>
            </c:ext>
          </c:extLst>
        </c:ser>
        <c:ser>
          <c:idx val="2"/>
          <c:order val="2"/>
          <c:tx>
            <c:strRef>
              <c:f>'Seasonal Index'!$A$17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'Seasonal Index'!$B$13:$E$14</c:f>
              <c:multiLvlStrCache>
                <c:ptCount val="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'Seasonal Index'!$B$17:$E$17</c:f>
              <c:numCache>
                <c:formatCode>General</c:formatCode>
                <c:ptCount val="4"/>
                <c:pt idx="0">
                  <c:v>0.87615124869474026</c:v>
                </c:pt>
                <c:pt idx="1">
                  <c:v>1.1048104904744918</c:v>
                </c:pt>
                <c:pt idx="2">
                  <c:v>0.9946917023681815</c:v>
                </c:pt>
                <c:pt idx="3">
                  <c:v>1.0268459138508546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4A-4B3F-98D5-77F26036CC89}"/>
            </c:ext>
          </c:extLst>
        </c:ser>
        <c:ser>
          <c:idx val="3"/>
          <c:order val="3"/>
          <c:tx>
            <c:strRef>
              <c:f>'Seasonal Index'!$A$18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'Seasonal Index'!$B$13:$E$14</c:f>
              <c:multiLvlStrCache>
                <c:ptCount val="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'Seasonal Index'!$B$18:$E$18</c:f>
              <c:numCache>
                <c:formatCode>General</c:formatCode>
                <c:ptCount val="4"/>
                <c:pt idx="0">
                  <c:v>1.0541337209961539</c:v>
                </c:pt>
                <c:pt idx="1">
                  <c:v>1.0008329349015972</c:v>
                </c:pt>
                <c:pt idx="2">
                  <c:v>1.0530351099743194</c:v>
                </c:pt>
                <c:pt idx="3">
                  <c:v>0.90519576640815558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4A-4B3F-98D5-77F26036C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49887"/>
        <c:axId val="123050367"/>
      </c:lineChart>
      <c:catAx>
        <c:axId val="12304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50367"/>
        <c:crosses val="autoZero"/>
        <c:auto val="1"/>
        <c:lblAlgn val="ctr"/>
        <c:lblOffset val="100"/>
        <c:noMultiLvlLbl val="0"/>
      </c:catAx>
      <c:valAx>
        <c:axId val="123050367"/>
        <c:scaling>
          <c:orientation val="minMax"/>
          <c:max val="1.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988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0</xdr:row>
      <xdr:rowOff>156210</xdr:rowOff>
    </xdr:from>
    <xdr:to>
      <xdr:col>13</xdr:col>
      <xdr:colOff>381000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6BB12-85AA-5F30-B67B-A21966369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731520</xdr:colOff>
      <xdr:row>2</xdr:row>
      <xdr:rowOff>152400</xdr:rowOff>
    </xdr:from>
    <xdr:to>
      <xdr:col>13</xdr:col>
      <xdr:colOff>502920</xdr:colOff>
      <xdr:row>23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90248-5440-E2E8-4368-ECACAEAF2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5</xdr:row>
      <xdr:rowOff>41910</xdr:rowOff>
    </xdr:from>
    <xdr:to>
      <xdr:col>11</xdr:col>
      <xdr:colOff>7620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66EC7-FD1F-D475-22BF-FB8768215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18</xdr:row>
      <xdr:rowOff>179070</xdr:rowOff>
    </xdr:from>
    <xdr:to>
      <xdr:col>6</xdr:col>
      <xdr:colOff>533400</xdr:colOff>
      <xdr:row>33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70E9F-0FEB-986D-B50B-C7543EAB7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lpa" refreshedDate="46069.840754976853" createdVersion="8" refreshedVersion="8" minRefreshableVersion="3" recordCount="1000" xr:uid="{981D9933-B0DB-4E18-937B-B5F75220FD30}">
  <cacheSource type="worksheet">
    <worksheetSource ref="A1:N1001" sheet="sales_data"/>
  </cacheSource>
  <cacheFields count="18">
    <cacheField name="Product_ID" numFmtId="0">
      <sharedItems containsSemiMixedTypes="0" containsString="0" containsNumber="1" containsInteger="1" minValue="1001" maxValue="1100" count="100">
        <n v="1052"/>
        <n v="1093"/>
        <n v="1015"/>
        <n v="1072"/>
        <n v="1061"/>
        <n v="1021"/>
        <n v="1083"/>
        <n v="1087"/>
        <n v="1075"/>
        <n v="1088"/>
        <n v="1100"/>
        <n v="1024"/>
        <n v="1003"/>
        <n v="1022"/>
        <n v="1053"/>
        <n v="1002"/>
        <n v="1030"/>
        <n v="1038"/>
        <n v="1064"/>
        <n v="1060"/>
        <n v="1033"/>
        <n v="1076"/>
        <n v="1058"/>
        <n v="1089"/>
        <n v="1049"/>
        <n v="1091"/>
        <n v="1059"/>
        <n v="1042"/>
        <n v="1092"/>
        <n v="1080"/>
        <n v="1062"/>
        <n v="1047"/>
        <n v="1051"/>
        <n v="1055"/>
        <n v="1007"/>
        <n v="1073"/>
        <n v="1039"/>
        <n v="1018"/>
        <n v="1004"/>
        <n v="1014"/>
        <n v="1009"/>
        <n v="1090"/>
        <n v="1084"/>
        <n v="1071"/>
        <n v="1044"/>
        <n v="1008"/>
        <n v="1035"/>
        <n v="1078"/>
        <n v="1081"/>
        <n v="1036"/>
        <n v="1050"/>
        <n v="1006"/>
        <n v="1054"/>
        <n v="1063"/>
        <n v="1034"/>
        <n v="1074"/>
        <n v="1095"/>
        <n v="1048"/>
        <n v="1040"/>
        <n v="1085"/>
        <n v="1082"/>
        <n v="1026"/>
        <n v="1041"/>
        <n v="1029"/>
        <n v="1045"/>
        <n v="1065"/>
        <n v="1001"/>
        <n v="1011"/>
        <n v="1005"/>
        <n v="1028"/>
        <n v="1012"/>
        <n v="1023"/>
        <n v="1037"/>
        <n v="1099"/>
        <n v="1086"/>
        <n v="1027"/>
        <n v="1079"/>
        <n v="1077"/>
        <n v="1096"/>
        <n v="1094"/>
        <n v="1043"/>
        <n v="1013"/>
        <n v="1032"/>
        <n v="1066"/>
        <n v="1057"/>
        <n v="1097"/>
        <n v="1070"/>
        <n v="1056"/>
        <n v="1019"/>
        <n v="1068"/>
        <n v="1017"/>
        <n v="1069"/>
        <n v="1098"/>
        <n v="1016"/>
        <n v="1020"/>
        <n v="1067"/>
        <n v="1031"/>
        <n v="1025"/>
        <n v="1046"/>
        <n v="1010"/>
      </sharedItems>
    </cacheField>
    <cacheField name="Sale_Date" numFmtId="14">
      <sharedItems containsSemiMixedTypes="0" containsNonDate="0" containsDate="1" containsString="0" minDate="2023-01-01T00:00:00" maxDate="2024-01-02T00:00:00" count="340">
        <d v="2023-02-03T00:00:00"/>
        <d v="2023-04-21T00:00:00"/>
        <d v="2023-09-21T00:00:00"/>
        <d v="2023-08-24T00:00:00"/>
        <d v="2023-03-24T00:00:00"/>
        <d v="2023-02-11T00:00:00"/>
        <d v="2023-04-11T00:00:00"/>
        <d v="2023-01-06T00:00:00"/>
        <d v="2023-06-29T00:00:00"/>
        <d v="2023-10-09T00:00:00"/>
        <d v="2023-11-16T00:00:00"/>
        <d v="2023-08-14T00:00:00"/>
        <d v="2023-11-11T00:00:00"/>
        <d v="2023-12-31T00:00:00"/>
        <d v="2023-08-17T00:00:00"/>
        <d v="2023-10-16T00:00:00"/>
        <d v="2023-05-30T00:00:00"/>
        <d v="2023-10-04T00:00:00"/>
        <d v="2023-07-17T00:00:00"/>
        <d v="2023-03-11T00:00:00"/>
        <d v="2023-04-22T00:00:00"/>
        <d v="2023-01-04T00:00:00"/>
        <d v="2023-12-16T00:00:00"/>
        <d v="2023-11-27T00:00:00"/>
        <d v="2023-11-14T00:00:00"/>
        <d v="2023-04-05T00:00:00"/>
        <d v="2023-06-01T00:00:00"/>
        <d v="2023-11-07T00:00:00"/>
        <d v="2023-05-17T00:00:00"/>
        <d v="2023-09-04T00:00:00"/>
        <d v="2023-08-31T00:00:00"/>
        <d v="2023-01-31T00:00:00"/>
        <d v="2023-02-09T00:00:00"/>
        <d v="2023-02-05T00:00:00"/>
        <d v="2023-08-11T00:00:00"/>
        <d v="2023-11-18T00:00:00"/>
        <d v="2023-08-08T00:00:00"/>
        <d v="2023-03-16T00:00:00"/>
        <d v="2023-12-01T00:00:00"/>
        <d v="2023-05-14T00:00:00"/>
        <d v="2023-04-28T00:00:00"/>
        <d v="2023-04-04T00:00:00"/>
        <d v="2023-03-03T00:00:00"/>
        <d v="2023-07-13T00:00:00"/>
        <d v="2023-07-22T00:00:00"/>
        <d v="2023-01-26T00:00:00"/>
        <d v="2023-06-22T00:00:00"/>
        <d v="2023-10-27T00:00:00"/>
        <d v="2023-05-13T00:00:00"/>
        <d v="2023-11-22T00:00:00"/>
        <d v="2023-11-20T00:00:00"/>
        <d v="2023-10-02T00:00:00"/>
        <d v="2023-07-31T00:00:00"/>
        <d v="2023-08-13T00:00:00"/>
        <d v="2023-01-20T00:00:00"/>
        <d v="2023-04-23T00:00:00"/>
        <d v="2023-05-20T00:00:00"/>
        <d v="2023-02-16T00:00:00"/>
        <d v="2023-01-01T00:00:00"/>
        <d v="2023-03-31T00:00:00"/>
        <d v="2023-05-22T00:00:00"/>
        <d v="2023-02-07T00:00:00"/>
        <d v="2023-10-20T00:00:00"/>
        <d v="2023-05-19T00:00:00"/>
        <d v="2023-12-22T00:00:00"/>
        <d v="2023-11-29T00:00:00"/>
        <d v="2023-09-16T00:00:00"/>
        <d v="2023-06-10T00:00:00"/>
        <d v="2023-06-27T00:00:00"/>
        <d v="2023-01-10T00:00:00"/>
        <d v="2023-09-18T00:00:00"/>
        <d v="2023-05-18T00:00:00"/>
        <d v="2023-06-21T00:00:00"/>
        <d v="2023-01-13T00:00:00"/>
        <d v="2023-06-17T00:00:00"/>
        <d v="2023-05-10T00:00:00"/>
        <d v="2023-03-25T00:00:00"/>
        <d v="2023-11-17T00:00:00"/>
        <d v="2023-11-15T00:00:00"/>
        <d v="2023-11-25T00:00:00"/>
        <d v="2023-09-30T00:00:00"/>
        <d v="2023-09-22T00:00:00"/>
        <d v="2023-11-01T00:00:00"/>
        <d v="2023-03-10T00:00:00"/>
        <d v="2023-11-30T00:00:00"/>
        <d v="2023-03-17T00:00:00"/>
        <d v="2023-02-04T00:00:00"/>
        <d v="2023-10-23T00:00:00"/>
        <d v="2023-03-01T00:00:00"/>
        <d v="2023-12-15T00:00:00"/>
        <d v="2023-11-24T00:00:00"/>
        <d v="2023-09-24T00:00:00"/>
        <d v="2023-12-27T00:00:00"/>
        <d v="2023-09-27T00:00:00"/>
        <d v="2023-11-12T00:00:00"/>
        <d v="2023-10-13T00:00:00"/>
        <d v="2023-10-18T00:00:00"/>
        <d v="2023-08-01T00:00:00"/>
        <d v="2023-06-14T00:00:00"/>
        <d v="2023-01-05T00:00:00"/>
        <d v="2023-12-05T00:00:00"/>
        <d v="2023-03-19T00:00:00"/>
        <d v="2023-05-12T00:00:00"/>
        <d v="2023-03-30T00:00:00"/>
        <d v="2023-08-25T00:00:00"/>
        <d v="2023-10-22T00:00:00"/>
        <d v="2023-04-14T00:00:00"/>
        <d v="2023-01-14T00:00:00"/>
        <d v="2023-10-15T00:00:00"/>
        <d v="2023-06-28T00:00:00"/>
        <d v="2023-05-05T00:00:00"/>
        <d v="2023-12-19T00:00:00"/>
        <d v="2023-01-23T00:00:00"/>
        <d v="2023-03-04T00:00:00"/>
        <d v="2023-05-23T00:00:00"/>
        <d v="2023-06-02T00:00:00"/>
        <d v="2023-05-25T00:00:00"/>
        <d v="2023-11-05T00:00:00"/>
        <d v="2023-02-08T00:00:00"/>
        <d v="2023-03-08T00:00:00"/>
        <d v="2023-01-15T00:00:00"/>
        <d v="2023-06-06T00:00:00"/>
        <d v="2023-08-19T00:00:00"/>
        <d v="2023-04-07T00:00:00"/>
        <d v="2023-09-11T00:00:00"/>
        <d v="2023-07-15T00:00:00"/>
        <d v="2023-03-27T00:00:00"/>
        <d v="2023-05-03T00:00:00"/>
        <d v="2023-11-26T00:00:00"/>
        <d v="2023-10-21T00:00:00"/>
        <d v="2023-06-08T00:00:00"/>
        <d v="2023-10-30T00:00:00"/>
        <d v="2023-08-16T00:00:00"/>
        <d v="2023-08-04T00:00:00"/>
        <d v="2023-07-03T00:00:00"/>
        <d v="2023-05-16T00:00:00"/>
        <d v="2023-11-28T00:00:00"/>
        <d v="2023-04-25T00:00:00"/>
        <d v="2023-10-19T00:00:00"/>
        <d v="2023-10-26T00:00:00"/>
        <d v="2023-10-10T00:00:00"/>
        <d v="2023-05-28T00:00:00"/>
        <d v="2023-01-11T00:00:00"/>
        <d v="2023-12-26T00:00:00"/>
        <d v="2023-07-19T00:00:00"/>
        <d v="2023-12-12T00:00:00"/>
        <d v="2023-10-29T00:00:00"/>
        <d v="2023-12-29T00:00:00"/>
        <d v="2023-08-06T00:00:00"/>
        <d v="2023-05-21T00:00:00"/>
        <d v="2023-07-29T00:00:00"/>
        <d v="2023-06-20T00:00:00"/>
        <d v="2023-05-07T00:00:00"/>
        <d v="2023-04-16T00:00:00"/>
        <d v="2023-04-02T00:00:00"/>
        <d v="2023-10-14T00:00:00"/>
        <d v="2023-02-20T00:00:00"/>
        <d v="2023-01-29T00:00:00"/>
        <d v="2023-10-24T00:00:00"/>
        <d v="2023-08-02T00:00:00"/>
        <d v="2023-09-14T00:00:00"/>
        <d v="2023-04-20T00:00:00"/>
        <d v="2023-07-01T00:00:00"/>
        <d v="2023-11-09T00:00:00"/>
        <d v="2023-02-24T00:00:00"/>
        <d v="2023-05-29T00:00:00"/>
        <d v="2023-07-21T00:00:00"/>
        <d v="2023-04-27T00:00:00"/>
        <d v="2023-06-03T00:00:00"/>
        <d v="2023-09-01T00:00:00"/>
        <d v="2023-01-25T00:00:00"/>
        <d v="2023-12-13T00:00:00"/>
        <d v="2023-01-17T00:00:00"/>
        <d v="2023-05-08T00:00:00"/>
        <d v="2023-12-30T00:00:00"/>
        <d v="2023-09-08T00:00:00"/>
        <d v="2023-12-10T00:00:00"/>
        <d v="2023-06-26T00:00:00"/>
        <d v="2023-10-12T00:00:00"/>
        <d v="2023-06-05T00:00:00"/>
        <d v="2023-02-18T00:00:00"/>
        <d v="2023-12-03T00:00:00"/>
        <d v="2023-12-08T00:00:00"/>
        <d v="2023-07-08T00:00:00"/>
        <d v="2023-11-23T00:00:00"/>
        <d v="2023-08-12T00:00:00"/>
        <d v="2023-08-03T00:00:00"/>
        <d v="2023-07-30T00:00:00"/>
        <d v="2023-02-01T00:00:00"/>
        <d v="2023-06-07T00:00:00"/>
        <d v="2023-05-24T00:00:00"/>
        <d v="2023-01-19T00:00:00"/>
        <d v="2023-01-18T00:00:00"/>
        <d v="2023-06-24T00:00:00"/>
        <d v="2023-04-24T00:00:00"/>
        <d v="2023-08-10T00:00:00"/>
        <d v="2023-06-15T00:00:00"/>
        <d v="2023-12-25T00:00:00"/>
        <d v="2023-05-11T00:00:00"/>
        <d v="2023-09-23T00:00:00"/>
        <d v="2024-01-01T00:00:00"/>
        <d v="2023-06-11T00:00:00"/>
        <d v="2023-03-28T00:00:00"/>
        <d v="2023-01-08T00:00:00"/>
        <d v="2023-11-19T00:00:00"/>
        <d v="2023-09-12T00:00:00"/>
        <d v="2023-02-23T00:00:00"/>
        <d v="2023-09-06T00:00:00"/>
        <d v="2023-08-27T00:00:00"/>
        <d v="2023-04-06T00:00:00"/>
        <d v="2023-03-29T00:00:00"/>
        <d v="2023-04-30T00:00:00"/>
        <d v="2023-01-07T00:00:00"/>
        <d v="2023-09-20T00:00:00"/>
        <d v="2023-05-31T00:00:00"/>
        <d v="2023-03-26T00:00:00"/>
        <d v="2023-05-27T00:00:00"/>
        <d v="2023-07-07T00:00:00"/>
        <d v="2023-03-23T00:00:00"/>
        <d v="2023-01-02T00:00:00"/>
        <d v="2023-07-16T00:00:00"/>
        <d v="2023-08-22T00:00:00"/>
        <d v="2023-07-14T00:00:00"/>
        <d v="2023-04-29T00:00:00"/>
        <d v="2023-09-13T00:00:00"/>
        <d v="2023-02-22T00:00:00"/>
        <d v="2023-12-21T00:00:00"/>
        <d v="2023-10-07T00:00:00"/>
        <d v="2023-03-22T00:00:00"/>
        <d v="2023-02-28T00:00:00"/>
        <d v="2023-07-28T00:00:00"/>
        <d v="2023-01-09T00:00:00"/>
        <d v="2023-10-08T00:00:00"/>
        <d v="2023-07-20T00:00:00"/>
        <d v="2023-09-03T00:00:00"/>
        <d v="2023-10-05T00:00:00"/>
        <d v="2023-08-23T00:00:00"/>
        <d v="2023-04-19T00:00:00"/>
        <d v="2023-04-08T00:00:00"/>
        <d v="2023-05-26T00:00:00"/>
        <d v="2023-12-07T00:00:00"/>
        <d v="2023-02-10T00:00:00"/>
        <d v="2023-12-28T00:00:00"/>
        <d v="2023-01-27T00:00:00"/>
        <d v="2023-08-07T00:00:00"/>
        <d v="2023-09-25T00:00:00"/>
        <d v="2023-07-09T00:00:00"/>
        <d v="2023-05-02T00:00:00"/>
        <d v="2023-02-15T00:00:00"/>
        <d v="2023-03-05T00:00:00"/>
        <d v="2023-11-06T00:00:00"/>
        <d v="2023-07-12T00:00:00"/>
        <d v="2023-11-03T00:00:00"/>
        <d v="2023-06-30T00:00:00"/>
        <d v="2023-06-13T00:00:00"/>
        <d v="2023-07-06T00:00:00"/>
        <d v="2023-08-20T00:00:00"/>
        <d v="2023-08-15T00:00:00"/>
        <d v="2023-11-08T00:00:00"/>
        <d v="2023-09-07T00:00:00"/>
        <d v="2023-03-14T00:00:00"/>
        <d v="2023-05-09T00:00:00"/>
        <d v="2023-08-05T00:00:00"/>
        <d v="2023-03-02T00:00:00"/>
        <d v="2023-04-18T00:00:00"/>
        <d v="2023-04-12T00:00:00"/>
        <d v="2023-12-20T00:00:00"/>
        <d v="2023-01-12T00:00:00"/>
        <d v="2023-02-13T00:00:00"/>
        <d v="2023-02-26T00:00:00"/>
        <d v="2023-03-21T00:00:00"/>
        <d v="2023-01-16T00:00:00"/>
        <d v="2023-07-18T00:00:00"/>
        <d v="2023-06-25T00:00:00"/>
        <d v="2023-04-13T00:00:00"/>
        <d v="2023-10-28T00:00:00"/>
        <d v="2023-07-02T00:00:00"/>
        <d v="2023-06-19T00:00:00"/>
        <d v="2023-09-26T00:00:00"/>
        <d v="2023-10-01T00:00:00"/>
        <d v="2023-09-02T00:00:00"/>
        <d v="2023-07-04T00:00:00"/>
        <d v="2023-09-29T00:00:00"/>
        <d v="2023-12-06T00:00:00"/>
        <d v="2023-03-06T00:00:00"/>
        <d v="2023-01-03T00:00:00"/>
        <d v="2023-02-21T00:00:00"/>
        <d v="2023-09-17T00:00:00"/>
        <d v="2023-03-13T00:00:00"/>
        <d v="2023-04-17T00:00:00"/>
        <d v="2023-08-29T00:00:00"/>
        <d v="2023-09-19T00:00:00"/>
        <d v="2023-04-09T00:00:00"/>
        <d v="2023-12-04T00:00:00"/>
        <d v="2023-06-09T00:00:00"/>
        <d v="2023-03-09T00:00:00"/>
        <d v="2023-12-23T00:00:00"/>
        <d v="2023-04-15T00:00:00"/>
        <d v="2023-05-04T00:00:00"/>
        <d v="2023-02-06T00:00:00"/>
        <d v="2023-10-11T00:00:00"/>
        <d v="2023-07-05T00:00:00"/>
        <d v="2023-02-25T00:00:00"/>
        <d v="2023-12-02T00:00:00"/>
        <d v="2023-10-31T00:00:00"/>
        <d v="2023-06-18T00:00:00"/>
        <d v="2023-02-14T00:00:00"/>
        <d v="2023-12-11T00:00:00"/>
        <d v="2023-07-10T00:00:00"/>
        <d v="2023-06-04T00:00:00"/>
        <d v="2023-11-10T00:00:00"/>
        <d v="2023-09-15T00:00:00"/>
        <d v="2023-07-25T00:00:00"/>
        <d v="2023-03-18T00:00:00"/>
        <d v="2023-08-21T00:00:00"/>
        <d v="2023-06-12T00:00:00"/>
        <d v="2023-03-15T00:00:00"/>
        <d v="2023-12-18T00:00:00"/>
        <d v="2023-08-30T00:00:00"/>
        <d v="2023-07-11T00:00:00"/>
        <d v="2023-01-22T00:00:00"/>
        <d v="2023-11-02T00:00:00"/>
        <d v="2023-07-23T00:00:00"/>
        <d v="2023-02-02T00:00:00"/>
        <d v="2023-03-20T00:00:00"/>
        <d v="2023-02-27T00:00:00"/>
        <d v="2023-09-28T00:00:00"/>
        <d v="2023-01-21T00:00:00"/>
        <d v="2023-07-27T00:00:00"/>
        <d v="2023-04-03T00:00:00"/>
        <d v="2023-06-23T00:00:00"/>
        <d v="2023-02-19T00:00:00"/>
        <d v="2023-01-24T00:00:00"/>
        <d v="2023-07-24T00:00:00"/>
        <d v="2023-04-26T00:00:00"/>
        <d v="2023-11-13T00:00:00"/>
        <d v="2023-12-14T00:00:00"/>
        <d v="2023-08-26T00:00:00"/>
        <d v="2023-08-09T00:00:00"/>
        <d v="2023-07-26T00:00:00"/>
      </sharedItems>
      <fieldGroup par="16"/>
    </cacheField>
    <cacheField name="Sales_Rep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Sales_Amount" numFmtId="0">
      <sharedItems containsSemiMixedTypes="0" containsString="0" containsNumber="1" minValue="100.12" maxValue="9989.0400000000009" count="998">
        <n v="5053.97"/>
        <n v="4384.0200000000004"/>
        <n v="4631.2299999999996"/>
        <n v="2167.94"/>
        <n v="3750.2"/>
        <n v="3761.15"/>
        <n v="618.30999999999995"/>
        <n v="7698.92"/>
        <n v="4223.3900000000003"/>
        <n v="8239.58"/>
        <n v="8518.4500000000007"/>
        <n v="2198.7399999999998"/>
        <n v="6607.8"/>
        <n v="4775.59"/>
        <n v="8813.5499999999993"/>
        <n v="2235.83"/>
        <n v="6810.35"/>
        <n v="6116.75"/>
        <n v="3023.48"/>
        <n v="1452.35"/>
        <n v="6551.23"/>
        <n v="7412.11"/>
        <n v="3224.71"/>
        <n v="6483.84"/>
        <n v="4011.8"/>
        <n v="7160.75"/>
        <n v="2072.23"/>
        <n v="8913.1299999999992"/>
        <n v="2945.36"/>
        <n v="3741.08"/>
        <n v="675.11"/>
        <n v="1203.97"/>
        <n v="5207.03"/>
        <n v="2749.17"/>
        <n v="8371.25"/>
        <n v="245.46"/>
        <n v="3853.03"/>
        <n v="3439.72"/>
        <n v="291.33999999999997"/>
        <n v="1331.25"/>
        <n v="4195.0600000000004"/>
        <n v="4979.3599999999997"/>
        <n v="4102.47"/>
        <n v="5356.28"/>
        <n v="5991.8"/>
        <n v="198.25"/>
        <n v="4694.54"/>
        <n v="9638.64"/>
        <n v="5238.42"/>
        <n v="6807.67"/>
        <n v="3187.45"/>
        <n v="7762.51"/>
        <n v="7751.92"/>
        <n v="5260.83"/>
        <n v="9762.5400000000009"/>
        <n v="1342.95"/>
        <n v="267.77999999999997"/>
        <n v="7724.57"/>
        <n v="8090.84"/>
        <n v="1290.05"/>
        <n v="2729.27"/>
        <n v="273.77"/>
        <n v="3003.76"/>
        <n v="7754.1"/>
        <n v="5227.8100000000004"/>
        <n v="3546.15"/>
        <n v="3780.22"/>
        <n v="113.4"/>
        <n v="3068.03"/>
        <n v="6499.94"/>
        <n v="9744.52"/>
        <n v="8485.9"/>
        <n v="333.59"/>
        <n v="8995.75"/>
        <n v="7853.66"/>
        <n v="7825.72"/>
        <n v="4634.16"/>
        <n v="4040.25"/>
        <n v="3098.87"/>
        <n v="750.38"/>
        <n v="2359.5300000000002"/>
        <n v="2541.38"/>
        <n v="4892.3599999999997"/>
        <n v="7499.7"/>
        <n v="4790.72"/>
        <n v="672.66"/>
        <n v="9582.1200000000008"/>
        <n v="9432.9699999999993"/>
        <n v="7873.38"/>
        <n v="9914.15"/>
        <n v="5490.38"/>
        <n v="9631.41"/>
        <n v="848.49"/>
        <n v="3720.24"/>
        <n v="2331.27"/>
        <n v="2038.75"/>
        <n v="1493.95"/>
        <n v="6261.9"/>
        <n v="7835.09"/>
        <n v="5825.15"/>
        <n v="1554.93"/>
        <n v="8130.13"/>
        <n v="6395.95"/>
        <n v="3942.84"/>
        <n v="6773.89"/>
        <n v="2673.06"/>
        <n v="3517.4"/>
        <n v="9183.11"/>
        <n v="2975.99"/>
        <n v="4752.88"/>
        <n v="8912.4"/>
        <n v="7106.44"/>
        <n v="715.81"/>
        <n v="1558.3"/>
        <n v="177.63"/>
        <n v="6346.13"/>
        <n v="4531.97"/>
        <n v="1429.32"/>
        <n v="9583.5499999999993"/>
        <n v="5343.63"/>
        <n v="2494.7399999999998"/>
        <n v="5055.9799999999996"/>
        <n v="6828.24"/>
        <n v="854.77"/>
        <n v="2819.57"/>
        <n v="8088.96"/>
        <n v="4650.68"/>
        <n v="5511.11"/>
        <n v="4384.88"/>
        <n v="534.61"/>
        <n v="1740.92"/>
        <n v="4510.8599999999997"/>
        <n v="2170.94"/>
        <n v="594.79"/>
        <n v="8452.1299999999992"/>
        <n v="9813.81"/>
        <n v="7952.11"/>
        <n v="8552.4699999999993"/>
        <n v="2495.5700000000002"/>
        <n v="9610.2099999999991"/>
        <n v="2049.56"/>
        <n v="9519.16"/>
        <n v="9948.7099999999991"/>
        <n v="7146.06"/>
        <n v="9813.32"/>
        <n v="5738.44"/>
        <n v="2669.46"/>
        <n v="4426.26"/>
        <n v="5976.25"/>
        <n v="823.51"/>
        <n v="6261.2"/>
        <n v="9813.66"/>
        <n v="1982.07"/>
        <n v="7946.69"/>
        <n v="9088.2000000000007"/>
        <n v="9442.65"/>
        <n v="9605.34"/>
        <n v="5262.45"/>
        <n v="9775.35"/>
        <n v="7597.37"/>
        <n v="1700.55"/>
        <n v="4821.3100000000004"/>
        <n v="7211.48"/>
        <n v="2548.67"/>
        <n v="6442.09"/>
        <n v="6699.34"/>
        <n v="1710.73"/>
        <n v="5694.34"/>
        <n v="7739.11"/>
        <n v="5039.07"/>
        <n v="219.82"/>
        <n v="189.48"/>
        <n v="3634.59"/>
        <n v="9269.32"/>
        <n v="2363.9"/>
        <n v="6380.2"/>
        <n v="2298.5500000000002"/>
        <n v="3284.53"/>
        <n v="8495.6200000000008"/>
        <n v="7315.73"/>
        <n v="1044.45"/>
        <n v="4344.1499999999996"/>
        <n v="388.78"/>
        <n v="4860.8100000000004"/>
        <n v="6658.1"/>
        <n v="1273.18"/>
        <n v="2959.96"/>
        <n v="4038.58"/>
        <n v="9203.36"/>
        <n v="9933.2199999999993"/>
        <n v="544.62"/>
        <n v="7633.98"/>
        <n v="3780.07"/>
        <n v="3985.34"/>
        <n v="7567.22"/>
        <n v="9192.42"/>
        <n v="9514.19"/>
        <n v="5813.51"/>
        <n v="3635.5"/>
        <n v="7896.74"/>
        <n v="2584.91"/>
        <n v="5684.33"/>
        <n v="3649.93"/>
        <n v="6600.65"/>
        <n v="2479.9499999999998"/>
        <n v="1996.77"/>
        <n v="9190.57"/>
        <n v="1107.8599999999999"/>
        <n v="5108.9799999999996"/>
        <n v="2286.44"/>
        <n v="485.41"/>
        <n v="456.59"/>
        <n v="1834.7"/>
        <n v="8681.0300000000007"/>
        <n v="2896.54"/>
        <n v="9509.5499999999993"/>
        <n v="5858.06"/>
        <n v="4422.4799999999996"/>
        <n v="5842.88"/>
        <n v="5215.3100000000004"/>
        <n v="7611.88"/>
        <n v="2896.71"/>
        <n v="3595.2"/>
        <n v="8951.5300000000007"/>
        <n v="9469.92"/>
        <n v="8936.33"/>
        <n v="4252.54"/>
        <n v="7825.62"/>
        <n v="4815.72"/>
        <n v="5025.6400000000003"/>
        <n v="2126.33"/>
        <n v="5952.19"/>
        <n v="1942.75"/>
        <n v="3382.49"/>
        <n v="8564.7999999999993"/>
        <n v="2150.0500000000002"/>
        <n v="804.47"/>
        <n v="783.18"/>
        <n v="9413.77"/>
        <n v="5118.51"/>
        <n v="4153.18"/>
        <n v="8127.7"/>
        <n v="8374.68"/>
        <n v="3388.69"/>
        <n v="6966.82"/>
        <n v="7734.12"/>
        <n v="6581.04"/>
        <n v="1600.79"/>
        <n v="8771.24"/>
        <n v="5437.04"/>
        <n v="2896.48"/>
        <n v="4309.76"/>
        <n v="471.95"/>
        <n v="1365.88"/>
        <n v="7678.91"/>
        <n v="100.12"/>
        <n v="4224"/>
        <n v="5272.85"/>
        <n v="640.88"/>
        <n v="9733.4699999999993"/>
        <n v="2338.64"/>
        <n v="3111.57"/>
        <n v="3109.03"/>
        <n v="2381.12"/>
        <n v="114.59"/>
        <n v="7320.51"/>
        <n v="9671.77"/>
        <n v="2320.5100000000002"/>
        <n v="6664.17"/>
        <n v="7444.77"/>
        <n v="8499.41"/>
        <n v="4284.03"/>
        <n v="3099.02"/>
        <n v="3320.42"/>
        <n v="7154.95"/>
        <n v="8186.12"/>
        <n v="1897.98"/>
        <n v="3772.32"/>
        <n v="9029.2099999999991"/>
        <n v="8086.27"/>
        <n v="9850.1"/>
        <n v="7567.06"/>
        <n v="3992.63"/>
        <n v="5947.31"/>
        <n v="6644.04"/>
        <n v="876.71"/>
        <n v="5490.52"/>
        <n v="7122.28"/>
        <n v="1756.48"/>
        <n v="7828.25"/>
        <n v="5879.35"/>
        <n v="9527"/>
        <n v="519.98"/>
        <n v="2726.73"/>
        <n v="6055.38"/>
        <n v="3035.94"/>
        <n v="7172.8"/>
        <n v="7614.15"/>
        <n v="1114.9100000000001"/>
        <n v="5187.16"/>
        <n v="5138.0200000000004"/>
        <n v="3755.88"/>
        <n v="9335.9599999999991"/>
        <n v="8292.31"/>
        <n v="7002.37"/>
        <n v="7171.83"/>
        <n v="4670.99"/>
        <n v="9217.85"/>
        <n v="6976.49"/>
        <n v="7316.91"/>
        <n v="8630.74"/>
        <n v="2813.31"/>
        <n v="8090"/>
        <n v="2032.88"/>
        <n v="3518.89"/>
        <n v="3422.54"/>
        <n v="9787.4"/>
        <n v="8579.7199999999993"/>
        <n v="7041.58"/>
        <n v="7297.86"/>
        <n v="5664.52"/>
        <n v="9476.2000000000007"/>
        <n v="5012.96"/>
        <n v="3867.13"/>
        <n v="1714.05"/>
        <n v="7883.44"/>
        <n v="7370.99"/>
        <n v="3905.11"/>
        <n v="349.41"/>
        <n v="8406.07"/>
        <n v="213.04"/>
        <n v="7066.63"/>
        <n v="9705.5499999999993"/>
        <n v="4432.8500000000004"/>
        <n v="2426.2399999999998"/>
        <n v="7078.22"/>
        <n v="8189.57"/>
        <n v="5509.66"/>
        <n v="9673.65"/>
        <n v="611.52"/>
        <n v="5097.4799999999996"/>
        <n v="7212.69"/>
        <n v="8640.14"/>
        <n v="1874.63"/>
        <n v="8020.03"/>
        <n v="5571.8"/>
        <n v="4025.88"/>
        <n v="1403.98"/>
        <n v="8666.43"/>
        <n v="1657"/>
        <n v="3166.9"/>
        <n v="2971.45"/>
        <n v="8727"/>
        <n v="6759.76"/>
        <n v="7987.15"/>
        <n v="2579.63"/>
        <n v="6286.25"/>
        <n v="5760.29"/>
        <n v="8345.02"/>
        <n v="9070.26"/>
        <n v="220.35"/>
        <n v="6772.8"/>
        <n v="613.16999999999996"/>
        <n v="5533.7"/>
        <n v="2947.56"/>
        <n v="3137.09"/>
        <n v="3594.29"/>
        <n v="6250.8"/>
        <n v="3407.09"/>
        <n v="7353.72"/>
        <n v="4104.82"/>
        <n v="776.7"/>
        <n v="7859.22"/>
        <n v="2929.01"/>
        <n v="4384.3900000000003"/>
        <n v="6885.89"/>
        <n v="3391.32"/>
        <n v="660.2"/>
        <n v="3801.82"/>
        <n v="9450.0400000000009"/>
        <n v="6453.17"/>
        <n v="6747.64"/>
        <n v="6359.59"/>
        <n v="2070.02"/>
        <n v="4241.51"/>
        <n v="7534.3"/>
        <n v="1103.5899999999999"/>
        <n v="2850.74"/>
        <n v="2835.56"/>
        <n v="4376.99"/>
        <n v="9805.65"/>
        <n v="768.28"/>
        <n v="5235.1400000000003"/>
        <n v="1875.71"/>
        <n v="9709.7000000000007"/>
        <n v="1221.7"/>
        <n v="4095.65"/>
        <n v="7405.06"/>
        <n v="7075.09"/>
        <n v="4285.01"/>
        <n v="3530.59"/>
        <n v="4036.36"/>
        <n v="2716.34"/>
        <n v="2132.8000000000002"/>
        <n v="4882.09"/>
        <n v="2758.48"/>
        <n v="2945.87"/>
        <n v="6601.89"/>
        <n v="9688.52"/>
        <n v="6076.01"/>
        <n v="862.1"/>
        <n v="848.28"/>
        <n v="9519.09"/>
        <n v="3043.18"/>
        <n v="1011.46"/>
        <n v="6030.54"/>
        <n v="6274.12"/>
        <n v="6520.2"/>
        <n v="2747.28"/>
        <n v="249.6"/>
        <n v="9653.65"/>
        <n v="2583.84"/>
        <n v="6792.66"/>
        <n v="7095.64"/>
        <n v="6139.07"/>
        <n v="3197.78"/>
        <n v="2783.85"/>
        <n v="6016.92"/>
        <n v="8674.35"/>
        <n v="9472.66"/>
        <n v="1148.47"/>
        <n v="1632.8"/>
        <n v="9452.89"/>
        <n v="7391.7"/>
        <n v="8841.64"/>
        <n v="2106.06"/>
        <n v="5917.1"/>
        <n v="7041.28"/>
        <n v="6833.11"/>
        <n v="4140.7"/>
        <n v="252.41"/>
        <n v="5870.97"/>
        <n v="2605.71"/>
        <n v="4557.5200000000004"/>
        <n v="9580.0499999999993"/>
        <n v="4050.45"/>
        <n v="8414.0400000000009"/>
        <n v="1966.55"/>
        <n v="6757.36"/>
        <n v="9772.3700000000008"/>
        <n v="1108.74"/>
        <n v="182.37"/>
        <n v="4392.47"/>
        <n v="1016.99"/>
        <n v="7509.01"/>
        <n v="9154.0300000000007"/>
        <n v="4396.8100000000004"/>
        <n v="2661.25"/>
        <n v="4400.59"/>
        <n v="7262.13"/>
        <n v="189.64"/>
        <n v="5935.59"/>
        <n v="6171.59"/>
        <n v="6413.11"/>
        <n v="2496.02"/>
        <n v="7169.12"/>
        <n v="1004.78"/>
        <n v="2072.7800000000002"/>
        <n v="8786.9500000000007"/>
        <n v="7413.36"/>
        <n v="236.08"/>
        <n v="2558.92"/>
        <n v="2222.62"/>
        <n v="2780.98"/>
        <n v="2550.84"/>
        <n v="719.01"/>
        <n v="4643.51"/>
        <n v="7354.06"/>
        <n v="6106.64"/>
        <n v="6761.43"/>
        <n v="903.38"/>
        <n v="9519.76"/>
        <n v="8401.07"/>
        <n v="8070.39"/>
        <n v="8247.5400000000009"/>
        <n v="9333.83"/>
        <n v="5488.11"/>
        <n v="2082.79"/>
        <n v="6206.16"/>
        <n v="7454.53"/>
        <n v="7405.38"/>
        <n v="5262.35"/>
        <n v="777.74"/>
        <n v="3774.02"/>
        <n v="9215.59"/>
        <n v="5886.04"/>
        <n v="5429.49"/>
        <n v="2761.65"/>
        <n v="3747.64"/>
        <n v="8963.93"/>
        <n v="6697.98"/>
        <n v="7895.13"/>
        <n v="4598.0200000000004"/>
        <n v="6339.45"/>
        <n v="2559"/>
        <n v="7084.06"/>
        <n v="4333.25"/>
        <n v="4481.2"/>
        <n v="6528.29"/>
        <n v="9369.18"/>
        <n v="733.66"/>
        <n v="8264.9599999999991"/>
        <n v="2994.59"/>
        <n v="4494.8"/>
        <n v="316.94"/>
        <n v="3080.36"/>
        <n v="5076.05"/>
        <n v="656.14"/>
        <n v="4961.8500000000004"/>
        <n v="9278.4"/>
        <n v="1143.3900000000001"/>
        <n v="7667.96"/>
        <n v="4155.74"/>
        <n v="6586.22"/>
        <n v="2676.34"/>
        <n v="1678.97"/>
        <n v="1688.58"/>
        <n v="797.87"/>
        <n v="1937.9"/>
        <n v="6675.77"/>
        <n v="8828.74"/>
        <n v="8159.84"/>
        <n v="6882.83"/>
        <n v="1193.28"/>
        <n v="2962.96"/>
        <n v="3167.09"/>
        <n v="2574.5700000000002"/>
        <n v="5198.5600000000004"/>
        <n v="5401.98"/>
        <n v="3633.17"/>
        <n v="3602.51"/>
        <n v="8302.7000000000007"/>
        <n v="7914"/>
        <n v="3147.18"/>
        <n v="9146.51"/>
        <n v="9532.8700000000008"/>
        <n v="3334.75"/>
        <n v="3608.81"/>
        <n v="5105.78"/>
        <n v="9417.1"/>
        <n v="8775.56"/>
        <n v="1115.42"/>
        <n v="3988.03"/>
        <n v="5578.37"/>
        <n v="5081.01"/>
        <n v="2019.24"/>
        <n v="8602.2900000000009"/>
        <n v="6801.71"/>
        <n v="8395.2900000000009"/>
        <n v="8601.77"/>
        <n v="7508.72"/>
        <n v="4448.18"/>
        <n v="6144.41"/>
        <n v="1687.62"/>
        <n v="6769.09"/>
        <n v="1874.61"/>
        <n v="6970.1"/>
        <n v="2373.02"/>
        <n v="1263.76"/>
        <n v="1736.32"/>
        <n v="119.72"/>
        <n v="7215.52"/>
        <n v="7350.77"/>
        <n v="5197.84"/>
        <n v="1697.49"/>
        <n v="927.19"/>
        <n v="289.38"/>
        <n v="1740.91"/>
        <n v="8919.4699999999993"/>
        <n v="2491.21"/>
        <n v="3607.29"/>
        <n v="1142.92"/>
        <n v="2301.38"/>
        <n v="5240.32"/>
        <n v="2528.9899999999998"/>
        <n v="671.55"/>
        <n v="3971.23"/>
        <n v="2418.61"/>
        <n v="2273.58"/>
        <n v="9602.64"/>
        <n v="6201.37"/>
        <n v="5613.1"/>
        <n v="4216.17"/>
        <n v="4346.55"/>
        <n v="5454.96"/>
        <n v="6994.66"/>
        <n v="7051.25"/>
        <n v="1799.77"/>
        <n v="5051.12"/>
        <n v="4178.3900000000003"/>
        <n v="8718.2199999999993"/>
        <n v="6351.05"/>
        <n v="5371.79"/>
        <n v="1242.4100000000001"/>
        <n v="6095.82"/>
        <n v="1260.32"/>
        <n v="3438.35"/>
        <n v="1514.14"/>
        <n v="6951.53"/>
        <n v="2141.9"/>
        <n v="3979.41"/>
        <n v="8967.18"/>
        <n v="2122.73"/>
        <n v="5127.2700000000004"/>
        <n v="4250.79"/>
        <n v="279.43"/>
        <n v="7948.31"/>
        <n v="783.55"/>
        <n v="4795.12"/>
        <n v="5650.72"/>
        <n v="6321.42"/>
        <n v="6917.45"/>
        <n v="2607.4"/>
        <n v="198.79"/>
        <n v="7262.09"/>
        <n v="5403"/>
        <n v="8377.57"/>
        <n v="8231.74"/>
        <n v="8448.93"/>
        <n v="4902.4399999999996"/>
        <n v="3402.92"/>
        <n v="7936.43"/>
        <n v="4567.8100000000004"/>
        <n v="1916.08"/>
        <n v="8564.24"/>
        <n v="8837.34"/>
        <n v="4716.47"/>
        <n v="849.43"/>
        <n v="3939.48"/>
        <n v="8055.02"/>
        <n v="9027.56"/>
        <n v="2114.38"/>
        <n v="763.04"/>
        <n v="8785.77"/>
        <n v="3955.11"/>
        <n v="5463.43"/>
        <n v="9683.85"/>
        <n v="758.99"/>
        <n v="6518.35"/>
        <n v="833.64"/>
        <n v="3817.14"/>
        <n v="8057.76"/>
        <n v="4391.38"/>
        <n v="9972.11"/>
        <n v="5634.69"/>
        <n v="3279.51"/>
        <n v="2279.1"/>
        <n v="3570.15"/>
        <n v="3788.08"/>
        <n v="780.27"/>
        <n v="3758.78"/>
        <n v="4695.96"/>
        <n v="7255.1"/>
        <n v="6601.62"/>
        <n v="7116.78"/>
        <n v="182.8"/>
        <n v="2254.91"/>
        <n v="6650.67"/>
        <n v="4891.49"/>
        <n v="152.6"/>
        <n v="8064.5"/>
        <n v="7750.81"/>
        <n v="5529.35"/>
        <n v="757.99"/>
        <n v="7688.5"/>
        <n v="5878.76"/>
        <n v="7841.4"/>
        <n v="7542.3"/>
        <n v="8049.72"/>
        <n v="5228.28"/>
        <n v="1489.21"/>
        <n v="6744.46"/>
        <n v="6242.69"/>
        <n v="7448.31"/>
        <n v="1781.82"/>
        <n v="2030.25"/>
        <n v="8915.0499999999993"/>
        <n v="7524.78"/>
        <n v="9091.4599999999991"/>
        <n v="7611.28"/>
        <n v="6011.84"/>
        <n v="6575.91"/>
        <n v="8902.3700000000008"/>
        <n v="5830.19"/>
        <n v="6360.67"/>
        <n v="1649.12"/>
        <n v="4791.82"/>
        <n v="7192.33"/>
        <n v="2782.33"/>
        <n v="2102.3200000000002"/>
        <n v="3206.89"/>
        <n v="2490.86"/>
        <n v="2227.64"/>
        <n v="4306.0200000000004"/>
        <n v="9087.6"/>
        <n v="5119.8900000000003"/>
        <n v="1960.41"/>
        <n v="862.02"/>
        <n v="6991.95"/>
        <n v="3889.71"/>
        <n v="8236.1299999999992"/>
        <n v="6629.16"/>
        <n v="7982.79"/>
        <n v="2792.27"/>
        <n v="6954.35"/>
        <n v="2714.21"/>
        <n v="9396.7800000000007"/>
        <n v="6400.11"/>
        <n v="3312.67"/>
        <n v="2768.17"/>
        <n v="1990.17"/>
        <n v="6976.95"/>
        <n v="2265.2800000000002"/>
        <n v="5993.5"/>
        <n v="2719.89"/>
        <n v="6653.49"/>
        <n v="8167.9"/>
        <n v="7802.45"/>
        <n v="7632.43"/>
        <n v="1958.45"/>
        <n v="975.01"/>
        <n v="7019.59"/>
        <n v="3746.64"/>
        <n v="4380.2299999999996"/>
        <n v="408.38"/>
        <n v="2669.81"/>
        <n v="433.4"/>
        <n v="8803.94"/>
        <n v="2509.63"/>
        <n v="5617.64"/>
        <n v="485.9"/>
        <n v="6701.79"/>
        <n v="3297.97"/>
        <n v="8989.4"/>
        <n v="8892.3700000000008"/>
        <n v="3320.38"/>
        <n v="9019.51"/>
        <n v="9961.9599999999991"/>
        <n v="8271.6200000000008"/>
        <n v="8464.23"/>
        <n v="2565.19"/>
        <n v="5809.35"/>
        <n v="765.83"/>
        <n v="1039.69"/>
        <n v="9989.0400000000009"/>
        <n v="3333.73"/>
        <n v="7507.02"/>
        <n v="8085.98"/>
        <n v="8594.43"/>
        <n v="9976.52"/>
        <n v="2490.8200000000002"/>
        <n v="499.47"/>
        <n v="4170.8"/>
        <n v="1387.8"/>
        <n v="322.02"/>
        <n v="3668.23"/>
        <n v="7859.01"/>
        <n v="5705.19"/>
        <n v="3196.5"/>
        <n v="6577.99"/>
        <n v="2396.98"/>
        <n v="242.38"/>
        <n v="7667.1"/>
        <n v="6275.06"/>
        <n v="7646.8"/>
        <n v="485.49"/>
        <n v="8387.48"/>
        <n v="6233.31"/>
        <n v="5677.61"/>
        <n v="6283.68"/>
        <n v="8657.89"/>
        <n v="5910.67"/>
        <n v="5851.41"/>
        <n v="9907.7199999999993"/>
        <n v="7591.63"/>
        <n v="4478.71"/>
        <n v="7103.23"/>
        <n v="3953.38"/>
        <n v="2365.87"/>
        <n v="6008.83"/>
        <n v="9289"/>
        <n v="9298.48"/>
        <n v="3484.86"/>
        <n v="5324.01"/>
        <n v="2195.1999999999998"/>
        <n v="9956.75"/>
        <n v="9813.07"/>
        <n v="6530.14"/>
        <n v="8063.7"/>
        <n v="7179.49"/>
        <n v="5972.27"/>
        <n v="628.15"/>
        <n v="4602.17"/>
        <n v="6780.38"/>
        <n v="6807.56"/>
        <n v="3793.91"/>
        <n v="9422.75"/>
        <n v="1756.83"/>
        <n v="5053.5600000000004"/>
        <n v="6939.75"/>
        <n v="7001.64"/>
        <n v="6521.53"/>
        <n v="2825.35"/>
        <n v="1646.45"/>
        <n v="6395.81"/>
        <n v="6033.09"/>
        <n v="1875.62"/>
        <n v="7080.88"/>
        <n v="4606.2"/>
        <n v="6710.83"/>
        <n v="8389.93"/>
        <n v="1780.31"/>
        <n v="289.52999999999997"/>
        <n v="7813.12"/>
        <n v="6136"/>
        <n v="7026.43"/>
        <n v="8397.73"/>
        <n v="8047.83"/>
        <n v="9613.11"/>
        <n v="5405.76"/>
        <n v="4936.1099999999997"/>
        <n v="4078.68"/>
        <n v="1621.54"/>
        <n v="5768.81"/>
        <n v="2842.42"/>
        <n v="9220.94"/>
        <n v="5873.59"/>
        <n v="5969.12"/>
        <n v="3613.75"/>
        <n v="614.69000000000005"/>
        <n v="414.26"/>
        <n v="4291.0200000000004"/>
        <n v="937.2"/>
        <n v="6107.78"/>
        <n v="8821.6299999999992"/>
        <n v="8840.86"/>
        <n v="6624.55"/>
        <n v="2191.1999999999998"/>
        <n v="8643.67"/>
        <n v="8872.33"/>
        <n v="2046.87"/>
        <n v="7400.52"/>
        <n v="2936.54"/>
        <n v="8046.14"/>
        <n v="9972.66"/>
        <n v="397.26"/>
        <n v="8983.92"/>
        <n v="6264.04"/>
        <n v="9736.49"/>
        <n v="4703.59"/>
        <n v="8489.14"/>
        <n v="717.7"/>
        <n v="3419.26"/>
        <n v="763.46"/>
        <n v="9755.9"/>
        <n v="8188.04"/>
        <n v="8540.2199999999993"/>
        <n v="9385.86"/>
        <n v="942.52"/>
        <n v="3917.42"/>
        <n v="803.25"/>
        <n v="2186.85"/>
        <n v="2370.7199999999998"/>
        <n v="4744.16"/>
        <n v="2758.77"/>
        <n v="1099.68"/>
        <n v="1758.16"/>
        <n v="1558.03"/>
        <n v="9733.4599999999991"/>
        <n v="7617"/>
        <n v="9680.84"/>
        <n v="4453.43"/>
        <n v="2855.85"/>
        <n v="8003.1"/>
        <n v="3329.91"/>
        <n v="3063.9"/>
        <n v="2401.81"/>
        <n v="1383.82"/>
        <n v="2638.98"/>
        <n v="3617.67"/>
        <n v="6772.54"/>
        <n v="719.39"/>
        <n v="2184.02"/>
        <n v="8109.33"/>
        <n v="1554.53"/>
        <n v="3492.19"/>
        <n v="8660.1200000000008"/>
        <n v="1633.76"/>
        <n v="919.09"/>
        <n v="4896.93"/>
        <n v="3093.95"/>
        <n v="5677.74"/>
        <n v="8057.67"/>
        <n v="1457.77"/>
        <n v="5848.92"/>
        <n v="5104.54"/>
        <n v="1526.38"/>
        <n v="6277.59"/>
        <n v="2809.04"/>
        <n v="4929.5600000000004"/>
        <n v="914.5"/>
        <n v="4649.88"/>
        <n v="3133.99"/>
        <n v="8241.57"/>
        <n v="664.09"/>
        <n v="4244.21"/>
        <n v="4638.47"/>
        <n v="7277.56"/>
        <n v="5785.45"/>
        <n v="6705.4"/>
        <n v="7792.79"/>
        <n v="8635.81"/>
        <n v="3207.37"/>
        <n v="5426.42"/>
        <n v="8417.07"/>
        <n v="9895.57"/>
        <n v="8906.24"/>
        <n v="3777.53"/>
        <n v="2032.15"/>
        <n v="4944.99"/>
        <n v="7442.25"/>
        <n v="4976.43"/>
        <n v="4883.49"/>
        <n v="8398.48"/>
        <n v="3677.9"/>
        <n v="8611.9699999999993"/>
        <n v="4127.37"/>
        <n v="3349.51"/>
        <n v="4594.5"/>
        <n v="7648.22"/>
        <n v="1347.42"/>
        <n v="2044.55"/>
        <n v="9519.2999999999993"/>
        <n v="1837.37"/>
        <n v="5720.5"/>
        <n v="5835.21"/>
        <n v="4947.28"/>
        <n v="6482.98"/>
        <n v="2375.2800000000002"/>
        <n v="5571.36"/>
        <n v="3784.52"/>
        <n v="6650.51"/>
        <n v="1498.11"/>
        <n v="5751.69"/>
        <n v="1934.18"/>
        <n v="2858.57"/>
        <n v="2265.23"/>
        <n v="1910.09"/>
        <n v="8274.5400000000009"/>
        <n v="2928.5"/>
        <n v="9278.5300000000007"/>
        <n v="9702.27"/>
        <n v="5755.48"/>
        <n v="1515.71"/>
        <n v="3808.03"/>
        <n v="7997.55"/>
        <n v="3737.17"/>
        <n v="961.47"/>
        <n v="5612.17"/>
        <n v="8466.7000000000007"/>
        <n v="7979.67"/>
        <n v="1833.72"/>
        <n v="6760.37"/>
        <n v="2282.9899999999998"/>
        <n v="2260.25"/>
        <n v="8753.31"/>
        <n v="2571.7199999999998"/>
        <n v="2706.15"/>
        <n v="106.47"/>
        <n v="8719.6200000000008"/>
        <n v="6310.56"/>
        <n v="7527.63"/>
        <n v="1605.28"/>
        <n v="4637.3999999999996"/>
        <n v="3577.07"/>
        <n v="1028.3900000000001"/>
        <n v="4912.6899999999996"/>
        <n v="9215.32"/>
        <n v="496.59"/>
        <n v="2985.46"/>
        <n v="2154.66"/>
        <n v="2457.65"/>
        <n v="9093.5"/>
        <n v="4733.88"/>
        <n v="4716.3599999999997"/>
        <n v="7629.7"/>
        <n v="1629.47"/>
        <n v="4923.93"/>
      </sharedItems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/>
    </cacheField>
    <cacheField name="Region_and_Sales_Rep" numFmtId="0">
      <sharedItems count="20">
        <s v="North-Bob"/>
        <s v="West-Bob"/>
        <s v="South-David"/>
        <s v="South-Bob"/>
        <s v="East-Charlie"/>
        <s v="West-Charlie"/>
        <s v="South-Eve"/>
        <s v="North-Eve"/>
        <s v="West-Eve"/>
        <s v="South-Alice"/>
        <s v="South-Charlie"/>
        <s v="North-David"/>
        <s v="East-Bob"/>
        <s v="West-David"/>
        <s v="East-Eve"/>
        <s v="North-Alice"/>
        <s v="East-David"/>
        <s v="West-Alice"/>
        <s v="East-Alice"/>
        <s v="North-Charlie"/>
      </sharedItems>
    </cacheField>
    <cacheField name="Months (Sale_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Sale_Date)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Sale_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  <cacheField name="Gross Profit Margin" numFmtId="0" formula=" (Sales_Amount-Unit_Cost)/Unit_Cos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lpa" refreshedDate="46073.969948495367" createdVersion="8" refreshedVersion="8" minRefreshableVersion="3" recordCount="1000" xr:uid="{E9AB717A-6946-4802-B0D5-EDB7A3159220}">
  <cacheSource type="worksheet">
    <worksheetSource ref="A1:Q1001" sheet="sales_data"/>
  </cacheSource>
  <cacheFields count="18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/>
    </cacheField>
    <cacheField name="Region" numFmtId="0">
      <sharedItems/>
    </cacheField>
    <cacheField name="Sales_Amount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/>
    </cacheField>
    <cacheField name="Region_and_Sales_Rep" numFmtId="0">
      <sharedItems/>
    </cacheField>
    <cacheField name="Total Cost Price" numFmtId="0">
      <sharedItems containsSemiMixedTypes="0" containsString="0" containsNumber="1" minValue="60.28" maxValue="235808.09"/>
    </cacheField>
    <cacheField name="Total Sales Price" numFmtId="0">
      <sharedItems containsSemiMixedTypes="0" containsString="0" containsNumber="1" minValue="211.18" maxValue="252147.36"/>
    </cacheField>
    <cacheField name="Gross Profit" numFmtId="0">
      <sharedItems containsSemiMixedTypes="0" containsString="0" containsNumber="1" minValue="17.360000000000127" maxValue="23441.10999999952"/>
    </cacheField>
    <cacheField name="Gross Profit Margin" numFmtId="0" formula="'Gross Profit' /'Total Sales Pric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lpa" refreshedDate="46073.995309375001" createdVersion="8" refreshedVersion="8" minRefreshableVersion="3" recordCount="1000" xr:uid="{6DD84923-C89F-4348-A5D9-F0B1C5E41BD1}">
  <cacheSource type="worksheet">
    <worksheetSource ref="B1:Q1001" sheet="sales_data"/>
  </cacheSource>
  <cacheFields count="16"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/>
    </cacheField>
    <cacheField name="Region" numFmtId="0">
      <sharedItems/>
    </cacheField>
    <cacheField name="Sales_Amount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/>
    </cacheField>
    <cacheField name="Region_and_Sales_Rep" numFmtId="0">
      <sharedItems/>
    </cacheField>
    <cacheField name="Total Cost Price" numFmtId="0">
      <sharedItems containsSemiMixedTypes="0" containsString="0" containsNumber="1" minValue="60.28" maxValue="235808.09"/>
    </cacheField>
    <cacheField name="Total Sales Price" numFmtId="0">
      <sharedItems containsSemiMixedTypes="0" containsString="0" containsNumber="1" minValue="211.18" maxValue="252147.36"/>
    </cacheField>
    <cacheField name="Gross Profit" numFmtId="0">
      <sharedItems containsSemiMixedTypes="0" containsString="0" containsNumber="1" minValue="17.360000000000127" maxValue="23441.109999999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Bob"/>
    <x v="0"/>
    <x v="0"/>
    <n v="18"/>
    <x v="0"/>
    <n v="152.75"/>
    <n v="267.22000000000003"/>
    <s v="Returning"/>
    <n v="0.09"/>
    <s v="Cash"/>
    <s v="Online"/>
    <x v="0"/>
  </r>
  <r>
    <x v="1"/>
    <x v="1"/>
    <s v="Bob"/>
    <x v="1"/>
    <x v="1"/>
    <n v="17"/>
    <x v="0"/>
    <n v="3816.39"/>
    <n v="4209.4399999999996"/>
    <s v="Returning"/>
    <n v="0.11"/>
    <s v="Cash"/>
    <s v="Retail"/>
    <x v="1"/>
  </r>
  <r>
    <x v="2"/>
    <x v="2"/>
    <s v="David"/>
    <x v="2"/>
    <x v="2"/>
    <n v="30"/>
    <x v="1"/>
    <n v="261.56"/>
    <n v="371.4"/>
    <s v="Returning"/>
    <n v="0.2"/>
    <s v="Bank Transfer"/>
    <s v="Retail"/>
    <x v="2"/>
  </r>
  <r>
    <x v="3"/>
    <x v="3"/>
    <s v="Bob"/>
    <x v="2"/>
    <x v="3"/>
    <n v="39"/>
    <x v="2"/>
    <n v="4330.03"/>
    <n v="4467.75"/>
    <s v="New"/>
    <n v="0.02"/>
    <s v="Credit Card"/>
    <s v="Retail"/>
    <x v="3"/>
  </r>
  <r>
    <x v="4"/>
    <x v="4"/>
    <s v="Charlie"/>
    <x v="3"/>
    <x v="4"/>
    <n v="13"/>
    <x v="3"/>
    <n v="637.37"/>
    <n v="692.71"/>
    <s v="New"/>
    <n v="0.08"/>
    <s v="Credit Card"/>
    <s v="Online"/>
    <x v="4"/>
  </r>
  <r>
    <x v="5"/>
    <x v="5"/>
    <s v="Charlie"/>
    <x v="1"/>
    <x v="5"/>
    <n v="32"/>
    <x v="1"/>
    <n v="900.79"/>
    <n v="1106.51"/>
    <s v="New"/>
    <n v="0.21"/>
    <s v="Cash"/>
    <s v="Online"/>
    <x v="5"/>
  </r>
  <r>
    <x v="6"/>
    <x v="6"/>
    <s v="Bob"/>
    <x v="1"/>
    <x v="6"/>
    <n v="29"/>
    <x v="0"/>
    <n v="2408.81"/>
    <n v="2624.09"/>
    <s v="Returning"/>
    <n v="0.14000000000000001"/>
    <s v="Cash"/>
    <s v="Online"/>
    <x v="1"/>
  </r>
  <r>
    <x v="7"/>
    <x v="7"/>
    <s v="Eve"/>
    <x v="2"/>
    <x v="7"/>
    <n v="46"/>
    <x v="0"/>
    <n v="3702.51"/>
    <n v="3964.65"/>
    <s v="New"/>
    <n v="0.12"/>
    <s v="Bank Transfer"/>
    <s v="Online"/>
    <x v="6"/>
  </r>
  <r>
    <x v="8"/>
    <x v="8"/>
    <s v="David"/>
    <x v="2"/>
    <x v="8"/>
    <n v="30"/>
    <x v="0"/>
    <n v="738.06"/>
    <n v="1095.44999999999"/>
    <s v="New"/>
    <n v="0.05"/>
    <s v="Bank Transfer"/>
    <s v="Online"/>
    <x v="2"/>
  </r>
  <r>
    <x v="8"/>
    <x v="9"/>
    <s v="Charlie"/>
    <x v="1"/>
    <x v="9"/>
    <n v="18"/>
    <x v="2"/>
    <n v="2228.35"/>
    <n v="2682.34"/>
    <s v="New"/>
    <n v="0.13"/>
    <s v="Bank Transfer"/>
    <s v="Online"/>
    <x v="5"/>
  </r>
  <r>
    <x v="9"/>
    <x v="10"/>
    <s v="Eve"/>
    <x v="0"/>
    <x v="10"/>
    <n v="13"/>
    <x v="0"/>
    <n v="2440.11"/>
    <n v="2517.6"/>
    <s v="New"/>
    <n v="0.23"/>
    <s v="Bank Transfer"/>
    <s v="Retail"/>
    <x v="7"/>
  </r>
  <r>
    <x v="10"/>
    <x v="11"/>
    <s v="Bob"/>
    <x v="1"/>
    <x v="11"/>
    <n v="43"/>
    <x v="1"/>
    <n v="1100.81"/>
    <n v="1137.44"/>
    <s v="Returning"/>
    <n v="0.08"/>
    <s v="Bank Transfer"/>
    <s v="Online"/>
    <x v="1"/>
  </r>
  <r>
    <x v="11"/>
    <x v="12"/>
    <s v="Eve"/>
    <x v="1"/>
    <x v="12"/>
    <n v="21"/>
    <x v="1"/>
    <n v="622.01"/>
    <n v="641.09"/>
    <s v="Returning"/>
    <n v="0"/>
    <s v="Bank Transfer"/>
    <s v="Retail"/>
    <x v="8"/>
  </r>
  <r>
    <x v="12"/>
    <x v="13"/>
    <s v="Alice"/>
    <x v="2"/>
    <x v="13"/>
    <n v="30"/>
    <x v="0"/>
    <n v="4190.28"/>
    <n v="4270.6499999999996"/>
    <s v="New"/>
    <n v="0.2"/>
    <s v="Cash"/>
    <s v="Online"/>
    <x v="9"/>
  </r>
  <r>
    <x v="13"/>
    <x v="14"/>
    <s v="Charlie"/>
    <x v="2"/>
    <x v="14"/>
    <n v="21"/>
    <x v="1"/>
    <n v="2537.1999999999998"/>
    <n v="2869.6"/>
    <s v="New"/>
    <n v="0.28999999999999998"/>
    <s v="Bank Transfer"/>
    <s v="Retail"/>
    <x v="10"/>
  </r>
  <r>
    <x v="14"/>
    <x v="15"/>
    <s v="Bob"/>
    <x v="0"/>
    <x v="15"/>
    <n v="48"/>
    <x v="0"/>
    <n v="121.19"/>
    <n v="487.65"/>
    <s v="New"/>
    <n v="0.18"/>
    <s v="Cash"/>
    <s v="Retail"/>
    <x v="0"/>
  </r>
  <r>
    <x v="15"/>
    <x v="16"/>
    <s v="David"/>
    <x v="0"/>
    <x v="16"/>
    <n v="17"/>
    <x v="0"/>
    <n v="4024.76"/>
    <n v="4420.1499999999996"/>
    <s v="Returning"/>
    <n v="0.04"/>
    <s v="Cash"/>
    <s v="Online"/>
    <x v="11"/>
  </r>
  <r>
    <x v="9"/>
    <x v="17"/>
    <s v="Bob"/>
    <x v="3"/>
    <x v="17"/>
    <n v="40"/>
    <x v="3"/>
    <n v="4904.93"/>
    <n v="5034.3500000000004"/>
    <s v="New"/>
    <n v="0.1"/>
    <s v="Credit Card"/>
    <s v="Retail"/>
    <x v="12"/>
  </r>
  <r>
    <x v="16"/>
    <x v="18"/>
    <s v="David"/>
    <x v="1"/>
    <x v="18"/>
    <n v="19"/>
    <x v="2"/>
    <n v="3049.33"/>
    <n v="3209.22"/>
    <s v="Returning"/>
    <n v="0.26"/>
    <s v="Cash"/>
    <s v="Online"/>
    <x v="13"/>
  </r>
  <r>
    <x v="17"/>
    <x v="19"/>
    <s v="Bob"/>
    <x v="2"/>
    <x v="19"/>
    <n v="15"/>
    <x v="2"/>
    <n v="2543.36"/>
    <n v="2790.1"/>
    <s v="Returning"/>
    <n v="7.0000000000000007E-2"/>
    <s v="Cash"/>
    <s v="Online"/>
    <x v="3"/>
  </r>
  <r>
    <x v="15"/>
    <x v="20"/>
    <s v="Eve"/>
    <x v="0"/>
    <x v="20"/>
    <n v="9"/>
    <x v="3"/>
    <n v="4398.16"/>
    <n v="4439.12"/>
    <s v="New"/>
    <n v="0.18"/>
    <s v="Bank Transfer"/>
    <s v="Online"/>
    <x v="7"/>
  </r>
  <r>
    <x v="18"/>
    <x v="21"/>
    <s v="Eve"/>
    <x v="3"/>
    <x v="21"/>
    <n v="10"/>
    <x v="3"/>
    <n v="4764.96"/>
    <n v="5074.42"/>
    <s v="New"/>
    <n v="0.12"/>
    <s v="Cash"/>
    <s v="Online"/>
    <x v="14"/>
  </r>
  <r>
    <x v="19"/>
    <x v="22"/>
    <s v="Eve"/>
    <x v="3"/>
    <x v="22"/>
    <n v="44"/>
    <x v="2"/>
    <n v="3784.96"/>
    <n v="4276.99"/>
    <s v="New"/>
    <n v="0.06"/>
    <s v="Bank Transfer"/>
    <s v="Retail"/>
    <x v="14"/>
  </r>
  <r>
    <x v="5"/>
    <x v="23"/>
    <s v="Alice"/>
    <x v="2"/>
    <x v="23"/>
    <n v="31"/>
    <x v="0"/>
    <n v="2254.9899999999998"/>
    <n v="2441.79"/>
    <s v="Returning"/>
    <n v="0.24"/>
    <s v="Bank Transfer"/>
    <s v="Online"/>
    <x v="9"/>
  </r>
  <r>
    <x v="20"/>
    <x v="24"/>
    <s v="David"/>
    <x v="2"/>
    <x v="24"/>
    <n v="23"/>
    <x v="0"/>
    <n v="2981.5"/>
    <n v="3360.4"/>
    <s v="Returning"/>
    <n v="0.22"/>
    <s v="Bank Transfer"/>
    <s v="Retail"/>
    <x v="2"/>
  </r>
  <r>
    <x v="21"/>
    <x v="22"/>
    <s v="Eve"/>
    <x v="3"/>
    <x v="25"/>
    <n v="30"/>
    <x v="2"/>
    <n v="3519.63"/>
    <n v="3774.65"/>
    <s v="New"/>
    <n v="0.2"/>
    <s v="Credit Card"/>
    <s v="Retail"/>
    <x v="14"/>
  </r>
  <r>
    <x v="22"/>
    <x v="25"/>
    <s v="Alice"/>
    <x v="0"/>
    <x v="26"/>
    <n v="33"/>
    <x v="0"/>
    <n v="1011.65"/>
    <n v="1084.28"/>
    <s v="Returning"/>
    <n v="7.0000000000000007E-2"/>
    <s v="Bank Transfer"/>
    <s v="Retail"/>
    <x v="15"/>
  </r>
  <r>
    <x v="13"/>
    <x v="26"/>
    <s v="David"/>
    <x v="3"/>
    <x v="27"/>
    <n v="9"/>
    <x v="3"/>
    <n v="2263.65"/>
    <n v="2558.9499999999998"/>
    <s v="New"/>
    <n v="0.03"/>
    <s v="Cash"/>
    <s v="Online"/>
    <x v="16"/>
  </r>
  <r>
    <x v="23"/>
    <x v="27"/>
    <s v="Bob"/>
    <x v="1"/>
    <x v="28"/>
    <n v="47"/>
    <x v="0"/>
    <n v="4157.62"/>
    <n v="4314.5599999999904"/>
    <s v="New"/>
    <n v="0.17"/>
    <s v="Bank Transfer"/>
    <s v="Retail"/>
    <x v="1"/>
  </r>
  <r>
    <x v="24"/>
    <x v="28"/>
    <s v="Alice"/>
    <x v="1"/>
    <x v="29"/>
    <n v="1"/>
    <x v="0"/>
    <n v="3290.89"/>
    <n v="3317.75"/>
    <s v="Returning"/>
    <n v="0.17"/>
    <s v="Bank Transfer"/>
    <s v="Online"/>
    <x v="17"/>
  </r>
  <r>
    <x v="25"/>
    <x v="29"/>
    <s v="Charlie"/>
    <x v="2"/>
    <x v="30"/>
    <n v="44"/>
    <x v="1"/>
    <n v="2085.46"/>
    <n v="2406.58"/>
    <s v="Returning"/>
    <n v="0.06"/>
    <s v="Bank Transfer"/>
    <s v="Retail"/>
    <x v="10"/>
  </r>
  <r>
    <x v="26"/>
    <x v="30"/>
    <s v="Alice"/>
    <x v="0"/>
    <x v="31"/>
    <n v="35"/>
    <x v="1"/>
    <n v="3333.64"/>
    <n v="3764.52"/>
    <s v="Returning"/>
    <n v="0.02"/>
    <s v="Credit Card"/>
    <s v="Online"/>
    <x v="15"/>
  </r>
  <r>
    <x v="27"/>
    <x v="31"/>
    <s v="Alice"/>
    <x v="0"/>
    <x v="32"/>
    <n v="11"/>
    <x v="1"/>
    <n v="635.20000000000005"/>
    <n v="814.14"/>
    <s v="Returning"/>
    <n v="0.02"/>
    <s v="Cash"/>
    <s v="Online"/>
    <x v="15"/>
  </r>
  <r>
    <x v="28"/>
    <x v="32"/>
    <s v="David"/>
    <x v="1"/>
    <x v="33"/>
    <n v="34"/>
    <x v="0"/>
    <n v="2037.41"/>
    <n v="2238.65"/>
    <s v="New"/>
    <n v="0.3"/>
    <s v="Credit Card"/>
    <s v="Online"/>
    <x v="13"/>
  </r>
  <r>
    <x v="19"/>
    <x v="14"/>
    <s v="Bob"/>
    <x v="3"/>
    <x v="34"/>
    <n v="16"/>
    <x v="2"/>
    <n v="3975.99"/>
    <n v="4422.59"/>
    <s v="New"/>
    <n v="0.24"/>
    <s v="Cash"/>
    <s v="Online"/>
    <x v="12"/>
  </r>
  <r>
    <x v="29"/>
    <x v="33"/>
    <s v="Charlie"/>
    <x v="2"/>
    <x v="35"/>
    <n v="9"/>
    <x v="3"/>
    <n v="1141.52"/>
    <n v="1550.19"/>
    <s v="New"/>
    <n v="0.28000000000000003"/>
    <s v="Credit Card"/>
    <s v="Retail"/>
    <x v="10"/>
  </r>
  <r>
    <x v="2"/>
    <x v="34"/>
    <s v="Eve"/>
    <x v="3"/>
    <x v="36"/>
    <n v="32"/>
    <x v="0"/>
    <n v="970.51"/>
    <n v="1330.84"/>
    <s v="Returning"/>
    <n v="0.06"/>
    <s v="Cash"/>
    <s v="Retail"/>
    <x v="14"/>
  </r>
  <r>
    <x v="30"/>
    <x v="7"/>
    <s v="Eve"/>
    <x v="3"/>
    <x v="37"/>
    <n v="15"/>
    <x v="2"/>
    <n v="4756.55"/>
    <n v="4888.46"/>
    <s v="New"/>
    <n v="0.28999999999999998"/>
    <s v="Credit Card"/>
    <s v="Online"/>
    <x v="14"/>
  </r>
  <r>
    <x v="30"/>
    <x v="35"/>
    <s v="Alice"/>
    <x v="3"/>
    <x v="38"/>
    <n v="12"/>
    <x v="0"/>
    <n v="1088.99"/>
    <n v="1545"/>
    <s v="Returning"/>
    <n v="0.04"/>
    <s v="Bank Transfer"/>
    <s v="Retail"/>
    <x v="18"/>
  </r>
  <r>
    <x v="31"/>
    <x v="36"/>
    <s v="David"/>
    <x v="0"/>
    <x v="39"/>
    <n v="33"/>
    <x v="3"/>
    <n v="1341.55"/>
    <n v="1427.21"/>
    <s v="Returning"/>
    <n v="0.15"/>
    <s v="Credit Card"/>
    <s v="Online"/>
    <x v="11"/>
  </r>
  <r>
    <x v="30"/>
    <x v="37"/>
    <s v="David"/>
    <x v="1"/>
    <x v="40"/>
    <n v="45"/>
    <x v="0"/>
    <n v="4849.6000000000004"/>
    <n v="5166.72"/>
    <s v="Returning"/>
    <n v="0.25"/>
    <s v="Credit Card"/>
    <s v="Online"/>
    <x v="13"/>
  </r>
  <r>
    <x v="32"/>
    <x v="21"/>
    <s v="Eve"/>
    <x v="0"/>
    <x v="41"/>
    <n v="14"/>
    <x v="3"/>
    <n v="3686.81"/>
    <n v="3710.92"/>
    <s v="New"/>
    <n v="0.1"/>
    <s v="Bank Transfer"/>
    <s v="Retail"/>
    <x v="7"/>
  </r>
  <r>
    <x v="33"/>
    <x v="38"/>
    <s v="Charlie"/>
    <x v="1"/>
    <x v="42"/>
    <n v="8"/>
    <x v="0"/>
    <n v="3513"/>
    <n v="3838.42"/>
    <s v="Returning"/>
    <n v="0.13"/>
    <s v="Bank Transfer"/>
    <s v="Online"/>
    <x v="5"/>
  </r>
  <r>
    <x v="18"/>
    <x v="39"/>
    <s v="Bob"/>
    <x v="2"/>
    <x v="43"/>
    <n v="8"/>
    <x v="3"/>
    <n v="4271.99"/>
    <n v="4417.79"/>
    <s v="Returning"/>
    <n v="0.04"/>
    <s v="Cash"/>
    <s v="Online"/>
    <x v="3"/>
  </r>
  <r>
    <x v="12"/>
    <x v="40"/>
    <s v="Charlie"/>
    <x v="2"/>
    <x v="44"/>
    <n v="27"/>
    <x v="0"/>
    <n v="623.32000000000005"/>
    <n v="853.66"/>
    <s v="Returning"/>
    <n v="0.04"/>
    <s v="Cash"/>
    <s v="Online"/>
    <x v="10"/>
  </r>
  <r>
    <x v="32"/>
    <x v="41"/>
    <s v="Bob"/>
    <x v="3"/>
    <x v="45"/>
    <n v="12"/>
    <x v="3"/>
    <n v="3544.48"/>
    <n v="3723.66"/>
    <s v="Returning"/>
    <n v="0.19"/>
    <s v="Cash"/>
    <s v="Online"/>
    <x v="12"/>
  </r>
  <r>
    <x v="34"/>
    <x v="42"/>
    <s v="Eve"/>
    <x v="1"/>
    <x v="46"/>
    <n v="1"/>
    <x v="1"/>
    <n v="2543.2600000000002"/>
    <n v="2637.91"/>
    <s v="Returning"/>
    <n v="0.2"/>
    <s v="Credit Card"/>
    <s v="Online"/>
    <x v="8"/>
  </r>
  <r>
    <x v="5"/>
    <x v="43"/>
    <s v="Bob"/>
    <x v="1"/>
    <x v="47"/>
    <n v="43"/>
    <x v="0"/>
    <n v="4154.3"/>
    <n v="4469.07"/>
    <s v="Returning"/>
    <n v="0.23"/>
    <s v="Cash"/>
    <s v="Retail"/>
    <x v="1"/>
  </r>
  <r>
    <x v="35"/>
    <x v="38"/>
    <s v="David"/>
    <x v="1"/>
    <x v="48"/>
    <n v="40"/>
    <x v="0"/>
    <n v="2565.3000000000002"/>
    <n v="3007.47"/>
    <s v="Returning"/>
    <n v="0.17"/>
    <s v="Credit Card"/>
    <s v="Retail"/>
    <x v="13"/>
  </r>
  <r>
    <x v="36"/>
    <x v="44"/>
    <s v="Alice"/>
    <x v="3"/>
    <x v="49"/>
    <n v="42"/>
    <x v="2"/>
    <n v="3120.19"/>
    <n v="3600.14"/>
    <s v="Returning"/>
    <n v="0.19"/>
    <s v="Credit Card"/>
    <s v="Retail"/>
    <x v="18"/>
  </r>
  <r>
    <x v="37"/>
    <x v="45"/>
    <s v="Alice"/>
    <x v="3"/>
    <x v="50"/>
    <n v="11"/>
    <x v="2"/>
    <n v="2414.8200000000002"/>
    <n v="2519.0700000000002"/>
    <s v="Returning"/>
    <n v="0"/>
    <s v="Cash"/>
    <s v="Online"/>
    <x v="18"/>
  </r>
  <r>
    <x v="38"/>
    <x v="46"/>
    <s v="Eve"/>
    <x v="2"/>
    <x v="51"/>
    <n v="39"/>
    <x v="3"/>
    <n v="2416.89"/>
    <n v="2778.3999999999901"/>
    <s v="Returning"/>
    <n v="0.05"/>
    <s v="Cash"/>
    <s v="Online"/>
    <x v="6"/>
  </r>
  <r>
    <x v="23"/>
    <x v="47"/>
    <s v="David"/>
    <x v="0"/>
    <x v="52"/>
    <n v="43"/>
    <x v="0"/>
    <n v="3851.45"/>
    <n v="4186.9799999999996"/>
    <s v="Returning"/>
    <n v="0.3"/>
    <s v="Credit Card"/>
    <s v="Online"/>
    <x v="11"/>
  </r>
  <r>
    <x v="19"/>
    <x v="48"/>
    <s v="Charlie"/>
    <x v="1"/>
    <x v="53"/>
    <n v="31"/>
    <x v="3"/>
    <n v="3161.4"/>
    <n v="3339.66"/>
    <s v="Returning"/>
    <n v="0.02"/>
    <s v="Bank Transfer"/>
    <s v="Online"/>
    <x v="5"/>
  </r>
  <r>
    <x v="39"/>
    <x v="49"/>
    <s v="David"/>
    <x v="1"/>
    <x v="54"/>
    <n v="17"/>
    <x v="1"/>
    <n v="3184.65"/>
    <n v="3204.01"/>
    <s v="New"/>
    <n v="0.2"/>
    <s v="Bank Transfer"/>
    <s v="Online"/>
    <x v="13"/>
  </r>
  <r>
    <x v="40"/>
    <x v="40"/>
    <s v="Alice"/>
    <x v="0"/>
    <x v="55"/>
    <n v="33"/>
    <x v="2"/>
    <n v="2278.9"/>
    <n v="2626.9"/>
    <s v="New"/>
    <n v="0.05"/>
    <s v="Credit Card"/>
    <s v="Online"/>
    <x v="15"/>
  </r>
  <r>
    <x v="41"/>
    <x v="50"/>
    <s v="Alice"/>
    <x v="1"/>
    <x v="56"/>
    <n v="32"/>
    <x v="3"/>
    <n v="2678.99"/>
    <n v="3152.2799999999902"/>
    <s v="Returning"/>
    <n v="0.22"/>
    <s v="Cash"/>
    <s v="Retail"/>
    <x v="17"/>
  </r>
  <r>
    <x v="14"/>
    <x v="51"/>
    <s v="David"/>
    <x v="3"/>
    <x v="57"/>
    <n v="29"/>
    <x v="3"/>
    <n v="3741.3"/>
    <n v="4061.04"/>
    <s v="Returning"/>
    <n v="0.21"/>
    <s v="Credit Card"/>
    <s v="Online"/>
    <x v="16"/>
  </r>
  <r>
    <x v="15"/>
    <x v="52"/>
    <s v="David"/>
    <x v="3"/>
    <x v="58"/>
    <n v="21"/>
    <x v="2"/>
    <n v="4138.41"/>
    <n v="4361.7"/>
    <s v="Returning"/>
    <n v="7.0000000000000007E-2"/>
    <s v="Credit Card"/>
    <s v="Retail"/>
    <x v="16"/>
  </r>
  <r>
    <x v="42"/>
    <x v="53"/>
    <s v="Alice"/>
    <x v="1"/>
    <x v="59"/>
    <n v="21"/>
    <x v="0"/>
    <n v="3497.98"/>
    <n v="3765.31"/>
    <s v="New"/>
    <n v="0.08"/>
    <s v="Cash"/>
    <s v="Online"/>
    <x v="17"/>
  </r>
  <r>
    <x v="28"/>
    <x v="54"/>
    <s v="Charlie"/>
    <x v="3"/>
    <x v="60"/>
    <n v="40"/>
    <x v="3"/>
    <n v="4624.16"/>
    <n v="4731.9799999999996"/>
    <s v="New"/>
    <n v="0.2"/>
    <s v="Bank Transfer"/>
    <s v="Retail"/>
    <x v="4"/>
  </r>
  <r>
    <x v="19"/>
    <x v="55"/>
    <s v="Eve"/>
    <x v="3"/>
    <x v="61"/>
    <n v="23"/>
    <x v="2"/>
    <n v="4110.6000000000004"/>
    <n v="4488.37"/>
    <s v="New"/>
    <n v="0.12"/>
    <s v="Credit Card"/>
    <s v="Online"/>
    <x v="14"/>
  </r>
  <r>
    <x v="43"/>
    <x v="56"/>
    <s v="Eve"/>
    <x v="1"/>
    <x v="62"/>
    <n v="6"/>
    <x v="0"/>
    <n v="2831.23"/>
    <n v="3206.98"/>
    <s v="Returning"/>
    <n v="0.06"/>
    <s v="Bank Transfer"/>
    <s v="Retail"/>
    <x v="8"/>
  </r>
  <r>
    <x v="44"/>
    <x v="57"/>
    <s v="David"/>
    <x v="2"/>
    <x v="63"/>
    <n v="22"/>
    <x v="1"/>
    <n v="3373.46"/>
    <n v="3454.76"/>
    <s v="Returning"/>
    <n v="0.22"/>
    <s v="Bank Transfer"/>
    <s v="Retail"/>
    <x v="2"/>
  </r>
  <r>
    <x v="45"/>
    <x v="58"/>
    <s v="Eve"/>
    <x v="0"/>
    <x v="64"/>
    <n v="38"/>
    <x v="2"/>
    <n v="4635.2299999999996"/>
    <n v="5075.4399999999996"/>
    <s v="Returning"/>
    <n v="0.05"/>
    <s v="Cash"/>
    <s v="Online"/>
    <x v="7"/>
  </r>
  <r>
    <x v="31"/>
    <x v="59"/>
    <s v="Alice"/>
    <x v="3"/>
    <x v="65"/>
    <n v="37"/>
    <x v="3"/>
    <n v="3114.88"/>
    <n v="3256.78"/>
    <s v="Returning"/>
    <n v="0.26"/>
    <s v="Credit Card"/>
    <s v="Online"/>
    <x v="18"/>
  </r>
  <r>
    <x v="46"/>
    <x v="60"/>
    <s v="Alice"/>
    <x v="2"/>
    <x v="66"/>
    <n v="45"/>
    <x v="1"/>
    <n v="4132.79"/>
    <n v="4624.1000000000004"/>
    <s v="New"/>
    <n v="0.15"/>
    <s v="Credit Card"/>
    <s v="Retail"/>
    <x v="9"/>
  </r>
  <r>
    <x v="47"/>
    <x v="10"/>
    <s v="David"/>
    <x v="3"/>
    <x v="67"/>
    <n v="8"/>
    <x v="0"/>
    <n v="3459.61"/>
    <n v="3657.23"/>
    <s v="Returning"/>
    <n v="0.03"/>
    <s v="Bank Transfer"/>
    <s v="Online"/>
    <x v="16"/>
  </r>
  <r>
    <x v="48"/>
    <x v="61"/>
    <s v="David"/>
    <x v="3"/>
    <x v="68"/>
    <n v="41"/>
    <x v="0"/>
    <n v="2782.08"/>
    <n v="2879.24"/>
    <s v="New"/>
    <n v="0.21"/>
    <s v="Bank Transfer"/>
    <s v="Online"/>
    <x v="16"/>
  </r>
  <r>
    <x v="49"/>
    <x v="62"/>
    <s v="David"/>
    <x v="0"/>
    <x v="69"/>
    <n v="49"/>
    <x v="2"/>
    <n v="1247.0999999999999"/>
    <n v="1429.4399999999901"/>
    <s v="New"/>
    <n v="0.16"/>
    <s v="Cash"/>
    <s v="Online"/>
    <x v="11"/>
  </r>
  <r>
    <x v="50"/>
    <x v="63"/>
    <s v="Charlie"/>
    <x v="3"/>
    <x v="70"/>
    <n v="35"/>
    <x v="2"/>
    <n v="2158.69"/>
    <n v="2384.38"/>
    <s v="Returning"/>
    <n v="0.09"/>
    <s v="Bank Transfer"/>
    <s v="Retail"/>
    <x v="4"/>
  </r>
  <r>
    <x v="38"/>
    <x v="64"/>
    <s v="Eve"/>
    <x v="0"/>
    <x v="71"/>
    <n v="11"/>
    <x v="2"/>
    <n v="4840.33"/>
    <n v="4884.29"/>
    <s v="New"/>
    <n v="0.13"/>
    <s v="Cash"/>
    <s v="Online"/>
    <x v="7"/>
  </r>
  <r>
    <x v="15"/>
    <x v="65"/>
    <s v="David"/>
    <x v="0"/>
    <x v="72"/>
    <n v="24"/>
    <x v="0"/>
    <n v="3305.94"/>
    <n v="3599.27"/>
    <s v="New"/>
    <n v="0.09"/>
    <s v="Credit Card"/>
    <s v="Retail"/>
    <x v="11"/>
  </r>
  <r>
    <x v="51"/>
    <x v="66"/>
    <s v="Bob"/>
    <x v="0"/>
    <x v="73"/>
    <n v="49"/>
    <x v="1"/>
    <n v="2843.76"/>
    <n v="3146.6"/>
    <s v="New"/>
    <n v="0.08"/>
    <s v="Cash"/>
    <s v="Retail"/>
    <x v="0"/>
  </r>
  <r>
    <x v="52"/>
    <x v="67"/>
    <s v="Bob"/>
    <x v="2"/>
    <x v="74"/>
    <n v="21"/>
    <x v="0"/>
    <n v="4668.1400000000003"/>
    <n v="5040.22"/>
    <s v="New"/>
    <n v="0.05"/>
    <s v="Bank Transfer"/>
    <s v="Online"/>
    <x v="3"/>
  </r>
  <r>
    <x v="38"/>
    <x v="68"/>
    <s v="Alice"/>
    <x v="1"/>
    <x v="75"/>
    <n v="2"/>
    <x v="3"/>
    <n v="2953.23"/>
    <n v="2977.52"/>
    <s v="Returning"/>
    <n v="0.11"/>
    <s v="Credit Card"/>
    <s v="Retail"/>
    <x v="17"/>
  </r>
  <r>
    <x v="52"/>
    <x v="69"/>
    <s v="Eve"/>
    <x v="2"/>
    <x v="76"/>
    <n v="40"/>
    <x v="0"/>
    <n v="2654.11"/>
    <n v="2929.32"/>
    <s v="Returning"/>
    <n v="0.08"/>
    <s v="Cash"/>
    <s v="Online"/>
    <x v="6"/>
  </r>
  <r>
    <x v="1"/>
    <x v="70"/>
    <s v="David"/>
    <x v="1"/>
    <x v="77"/>
    <n v="19"/>
    <x v="3"/>
    <n v="3808.59"/>
    <n v="3844.51"/>
    <s v="New"/>
    <n v="0.21"/>
    <s v="Credit Card"/>
    <s v="Online"/>
    <x v="13"/>
  </r>
  <r>
    <x v="53"/>
    <x v="71"/>
    <s v="Bob"/>
    <x v="1"/>
    <x v="78"/>
    <n v="39"/>
    <x v="1"/>
    <n v="3577.69"/>
    <n v="3931.25"/>
    <s v="Returning"/>
    <n v="0.21"/>
    <s v="Cash"/>
    <s v="Retail"/>
    <x v="1"/>
  </r>
  <r>
    <x v="37"/>
    <x v="72"/>
    <s v="Eve"/>
    <x v="0"/>
    <x v="79"/>
    <n v="28"/>
    <x v="2"/>
    <n v="1006.14"/>
    <n v="1043.45"/>
    <s v="New"/>
    <n v="0.15"/>
    <s v="Bank Transfer"/>
    <s v="Retail"/>
    <x v="7"/>
  </r>
  <r>
    <x v="41"/>
    <x v="73"/>
    <s v="Alice"/>
    <x v="3"/>
    <x v="80"/>
    <n v="17"/>
    <x v="2"/>
    <n v="2382.98"/>
    <n v="2839.73"/>
    <s v="Returning"/>
    <n v="0.23"/>
    <s v="Bank Transfer"/>
    <s v="Retail"/>
    <x v="18"/>
  </r>
  <r>
    <x v="44"/>
    <x v="74"/>
    <s v="Charlie"/>
    <x v="0"/>
    <x v="81"/>
    <n v="6"/>
    <x v="0"/>
    <n v="2388.9499999999998"/>
    <n v="2742.97"/>
    <s v="Returning"/>
    <n v="0.25"/>
    <s v="Credit Card"/>
    <s v="Retail"/>
    <x v="19"/>
  </r>
  <r>
    <x v="54"/>
    <x v="75"/>
    <s v="Eve"/>
    <x v="3"/>
    <x v="82"/>
    <n v="19"/>
    <x v="2"/>
    <n v="1922.21"/>
    <n v="2180.83"/>
    <s v="Returning"/>
    <n v="0.17"/>
    <s v="Credit Card"/>
    <s v="Retail"/>
    <x v="14"/>
  </r>
  <r>
    <x v="55"/>
    <x v="76"/>
    <s v="Eve"/>
    <x v="1"/>
    <x v="83"/>
    <n v="38"/>
    <x v="1"/>
    <n v="2610.6"/>
    <n v="2836.94"/>
    <s v="Returning"/>
    <n v="0.19"/>
    <s v="Credit Card"/>
    <s v="Online"/>
    <x v="8"/>
  </r>
  <r>
    <x v="30"/>
    <x v="77"/>
    <s v="Charlie"/>
    <x v="0"/>
    <x v="84"/>
    <n v="28"/>
    <x v="2"/>
    <n v="2094.88"/>
    <n v="2168.91"/>
    <s v="Returning"/>
    <n v="0.08"/>
    <s v="Cash"/>
    <s v="Retail"/>
    <x v="19"/>
  </r>
  <r>
    <x v="10"/>
    <x v="78"/>
    <s v="Eve"/>
    <x v="3"/>
    <x v="85"/>
    <n v="2"/>
    <x v="0"/>
    <n v="1036.76"/>
    <n v="1189.3499999999999"/>
    <s v="New"/>
    <n v="0.27"/>
    <s v="Bank Transfer"/>
    <s v="Online"/>
    <x v="14"/>
  </r>
  <r>
    <x v="39"/>
    <x v="6"/>
    <s v="Alice"/>
    <x v="2"/>
    <x v="86"/>
    <n v="38"/>
    <x v="1"/>
    <n v="2091.21"/>
    <n v="2527"/>
    <s v="Returning"/>
    <n v="0.01"/>
    <s v="Credit Card"/>
    <s v="Online"/>
    <x v="9"/>
  </r>
  <r>
    <x v="56"/>
    <x v="79"/>
    <s v="Alice"/>
    <x v="3"/>
    <x v="87"/>
    <n v="37"/>
    <x v="3"/>
    <n v="407.77"/>
    <n v="860.95"/>
    <s v="New"/>
    <n v="0.1"/>
    <s v="Credit Card"/>
    <s v="Retail"/>
    <x v="18"/>
  </r>
  <r>
    <x v="57"/>
    <x v="80"/>
    <s v="Charlie"/>
    <x v="0"/>
    <x v="88"/>
    <n v="4"/>
    <x v="0"/>
    <n v="2900.14"/>
    <n v="2910.5099999999902"/>
    <s v="New"/>
    <n v="0.22"/>
    <s v="Credit Card"/>
    <s v="Retail"/>
    <x v="19"/>
  </r>
  <r>
    <x v="2"/>
    <x v="81"/>
    <s v="David"/>
    <x v="2"/>
    <x v="89"/>
    <n v="22"/>
    <x v="3"/>
    <n v="4275.59"/>
    <n v="4576.72"/>
    <s v="Returning"/>
    <n v="0.02"/>
    <s v="Cash"/>
    <s v="Retail"/>
    <x v="2"/>
  </r>
  <r>
    <x v="3"/>
    <x v="61"/>
    <s v="Bob"/>
    <x v="3"/>
    <x v="90"/>
    <n v="26"/>
    <x v="1"/>
    <n v="3640.17"/>
    <n v="4002.63"/>
    <s v="New"/>
    <n v="0.05"/>
    <s v="Credit Card"/>
    <s v="Retail"/>
    <x v="12"/>
  </r>
  <r>
    <x v="47"/>
    <x v="41"/>
    <s v="David"/>
    <x v="3"/>
    <x v="91"/>
    <n v="49"/>
    <x v="0"/>
    <n v="1833.95"/>
    <n v="2147.14"/>
    <s v="Returning"/>
    <n v="0.18"/>
    <s v="Credit Card"/>
    <s v="Retail"/>
    <x v="16"/>
  </r>
  <r>
    <x v="7"/>
    <x v="25"/>
    <s v="Eve"/>
    <x v="3"/>
    <x v="92"/>
    <n v="43"/>
    <x v="0"/>
    <n v="481"/>
    <n v="531.02"/>
    <s v="New"/>
    <n v="0.17"/>
    <s v="Cash"/>
    <s v="Online"/>
    <x v="14"/>
  </r>
  <r>
    <x v="30"/>
    <x v="82"/>
    <s v="Bob"/>
    <x v="3"/>
    <x v="93"/>
    <n v="36"/>
    <x v="1"/>
    <n v="1050.6400000000001"/>
    <n v="1167.33"/>
    <s v="New"/>
    <n v="0.22"/>
    <s v="Cash"/>
    <s v="Online"/>
    <x v="12"/>
  </r>
  <r>
    <x v="58"/>
    <x v="83"/>
    <s v="Charlie"/>
    <x v="3"/>
    <x v="94"/>
    <n v="13"/>
    <x v="2"/>
    <n v="2750.18"/>
    <n v="2882.85"/>
    <s v="Returning"/>
    <n v="0.24"/>
    <s v="Credit Card"/>
    <s v="Online"/>
    <x v="4"/>
  </r>
  <r>
    <x v="59"/>
    <x v="24"/>
    <s v="Charlie"/>
    <x v="2"/>
    <x v="95"/>
    <n v="32"/>
    <x v="0"/>
    <n v="1074.93"/>
    <n v="1492.48"/>
    <s v="Returning"/>
    <n v="0.04"/>
    <s v="Credit Card"/>
    <s v="Retail"/>
    <x v="10"/>
  </r>
  <r>
    <x v="29"/>
    <x v="3"/>
    <s v="Bob"/>
    <x v="1"/>
    <x v="96"/>
    <n v="17"/>
    <x v="0"/>
    <n v="2742.67"/>
    <n v="2979.64"/>
    <s v="Returning"/>
    <n v="0.01"/>
    <s v="Cash"/>
    <s v="Retail"/>
    <x v="1"/>
  </r>
  <r>
    <x v="60"/>
    <x v="84"/>
    <s v="Alice"/>
    <x v="2"/>
    <x v="97"/>
    <n v="41"/>
    <x v="3"/>
    <n v="1196.42"/>
    <n v="1444.97"/>
    <s v="Returning"/>
    <n v="0.21"/>
    <s v="Bank Transfer"/>
    <s v="Online"/>
    <x v="9"/>
  </r>
  <r>
    <x v="14"/>
    <x v="28"/>
    <s v="Bob"/>
    <x v="2"/>
    <x v="98"/>
    <n v="36"/>
    <x v="2"/>
    <n v="4252.17"/>
    <n v="4720.2700000000004"/>
    <s v="New"/>
    <n v="0.09"/>
    <s v="Cash"/>
    <s v="Retail"/>
    <x v="3"/>
  </r>
  <r>
    <x v="11"/>
    <x v="85"/>
    <s v="Eve"/>
    <x v="2"/>
    <x v="99"/>
    <n v="46"/>
    <x v="3"/>
    <n v="2016.49"/>
    <n v="2338.66"/>
    <s v="Returning"/>
    <n v="0.19"/>
    <s v="Bank Transfer"/>
    <s v="Retail"/>
    <x v="6"/>
  </r>
  <r>
    <x v="61"/>
    <x v="86"/>
    <s v="Alice"/>
    <x v="1"/>
    <x v="100"/>
    <n v="19"/>
    <x v="3"/>
    <n v="1265.48"/>
    <n v="1715.83"/>
    <s v="New"/>
    <n v="0.05"/>
    <s v="Credit Card"/>
    <s v="Retail"/>
    <x v="17"/>
  </r>
  <r>
    <x v="23"/>
    <x v="58"/>
    <s v="Charlie"/>
    <x v="0"/>
    <x v="101"/>
    <n v="35"/>
    <x v="2"/>
    <n v="4071.01"/>
    <n v="4304.7"/>
    <s v="New"/>
    <n v="0.14000000000000001"/>
    <s v="Credit Card"/>
    <s v="Online"/>
    <x v="19"/>
  </r>
  <r>
    <x v="19"/>
    <x v="87"/>
    <s v="Bob"/>
    <x v="1"/>
    <x v="102"/>
    <n v="46"/>
    <x v="2"/>
    <n v="1747.05"/>
    <n v="1830.27"/>
    <s v="New"/>
    <n v="0.15"/>
    <s v="Bank Transfer"/>
    <s v="Retail"/>
    <x v="1"/>
  </r>
  <r>
    <x v="62"/>
    <x v="10"/>
    <s v="David"/>
    <x v="2"/>
    <x v="103"/>
    <n v="40"/>
    <x v="1"/>
    <n v="601.86"/>
    <n v="1067.53"/>
    <s v="New"/>
    <n v="0.18"/>
    <s v="Cash"/>
    <s v="Online"/>
    <x v="2"/>
  </r>
  <r>
    <x v="63"/>
    <x v="88"/>
    <s v="David"/>
    <x v="3"/>
    <x v="104"/>
    <n v="28"/>
    <x v="2"/>
    <n v="2873.53"/>
    <n v="3108.3"/>
    <s v="New"/>
    <n v="0.15"/>
    <s v="Credit Card"/>
    <s v="Retail"/>
    <x v="16"/>
  </r>
  <r>
    <x v="2"/>
    <x v="10"/>
    <s v="Eve"/>
    <x v="3"/>
    <x v="105"/>
    <n v="1"/>
    <x v="0"/>
    <n v="2928.74"/>
    <n v="3027.74"/>
    <s v="New"/>
    <n v="0.15"/>
    <s v="Bank Transfer"/>
    <s v="Retail"/>
    <x v="14"/>
  </r>
  <r>
    <x v="64"/>
    <x v="89"/>
    <s v="David"/>
    <x v="2"/>
    <x v="106"/>
    <n v="42"/>
    <x v="2"/>
    <n v="3587.74"/>
    <n v="3745.91"/>
    <s v="Returning"/>
    <n v="0.1"/>
    <s v="Cash"/>
    <s v="Online"/>
    <x v="2"/>
  </r>
  <r>
    <x v="65"/>
    <x v="90"/>
    <s v="Bob"/>
    <x v="3"/>
    <x v="107"/>
    <n v="18"/>
    <x v="1"/>
    <n v="1239.0899999999999"/>
    <n v="1273.98"/>
    <s v="New"/>
    <n v="0.02"/>
    <s v="Bank Transfer"/>
    <s v="Retail"/>
    <x v="12"/>
  </r>
  <r>
    <x v="23"/>
    <x v="91"/>
    <s v="Bob"/>
    <x v="2"/>
    <x v="108"/>
    <n v="48"/>
    <x v="1"/>
    <n v="2246.67"/>
    <n v="2486.14"/>
    <s v="New"/>
    <n v="0.03"/>
    <s v="Cash"/>
    <s v="Retail"/>
    <x v="3"/>
  </r>
  <r>
    <x v="43"/>
    <x v="92"/>
    <s v="David"/>
    <x v="3"/>
    <x v="109"/>
    <n v="40"/>
    <x v="1"/>
    <n v="1447.72"/>
    <n v="1875.75"/>
    <s v="New"/>
    <n v="0.13"/>
    <s v="Cash"/>
    <s v="Retail"/>
    <x v="16"/>
  </r>
  <r>
    <x v="40"/>
    <x v="14"/>
    <s v="Bob"/>
    <x v="1"/>
    <x v="110"/>
    <n v="33"/>
    <x v="2"/>
    <n v="450.72"/>
    <n v="918.17"/>
    <s v="Returning"/>
    <n v="0.11"/>
    <s v="Cash"/>
    <s v="Online"/>
    <x v="1"/>
  </r>
  <r>
    <x v="9"/>
    <x v="93"/>
    <s v="Eve"/>
    <x v="0"/>
    <x v="111"/>
    <n v="12"/>
    <x v="2"/>
    <n v="4389.24"/>
    <n v="4856.2199999999903"/>
    <s v="Returning"/>
    <n v="0.15"/>
    <s v="Cash"/>
    <s v="Retail"/>
    <x v="7"/>
  </r>
  <r>
    <x v="66"/>
    <x v="94"/>
    <s v="Alice"/>
    <x v="0"/>
    <x v="112"/>
    <n v="8"/>
    <x v="3"/>
    <n v="3657.91"/>
    <n v="3729.27"/>
    <s v="New"/>
    <n v="0.09"/>
    <s v="Bank Transfer"/>
    <s v="Retail"/>
    <x v="15"/>
  </r>
  <r>
    <x v="45"/>
    <x v="95"/>
    <s v="Eve"/>
    <x v="1"/>
    <x v="113"/>
    <n v="24"/>
    <x v="3"/>
    <n v="1542.24"/>
    <n v="1739.45"/>
    <s v="Returning"/>
    <n v="0.21"/>
    <s v="Bank Transfer"/>
    <s v="Retail"/>
    <x v="8"/>
  </r>
  <r>
    <x v="9"/>
    <x v="96"/>
    <s v="Eve"/>
    <x v="1"/>
    <x v="114"/>
    <n v="16"/>
    <x v="0"/>
    <n v="3016.9"/>
    <n v="3040.73"/>
    <s v="New"/>
    <n v="0.26"/>
    <s v="Bank Transfer"/>
    <s v="Retail"/>
    <x v="8"/>
  </r>
  <r>
    <x v="53"/>
    <x v="97"/>
    <s v="Bob"/>
    <x v="2"/>
    <x v="115"/>
    <n v="4"/>
    <x v="3"/>
    <n v="1046.26"/>
    <n v="1475.29"/>
    <s v="Returning"/>
    <n v="0.09"/>
    <s v="Bank Transfer"/>
    <s v="Retail"/>
    <x v="3"/>
  </r>
  <r>
    <x v="67"/>
    <x v="98"/>
    <s v="Alice"/>
    <x v="2"/>
    <x v="116"/>
    <n v="38"/>
    <x v="0"/>
    <n v="4456.67"/>
    <n v="4642.46"/>
    <s v="New"/>
    <n v="0.06"/>
    <s v="Bank Transfer"/>
    <s v="Online"/>
    <x v="9"/>
  </r>
  <r>
    <x v="48"/>
    <x v="99"/>
    <s v="Bob"/>
    <x v="2"/>
    <x v="117"/>
    <n v="44"/>
    <x v="1"/>
    <n v="618.79"/>
    <n v="938.04"/>
    <s v="Returning"/>
    <n v="0.03"/>
    <s v="Cash"/>
    <s v="Online"/>
    <x v="3"/>
  </r>
  <r>
    <x v="45"/>
    <x v="100"/>
    <s v="Charlie"/>
    <x v="3"/>
    <x v="118"/>
    <n v="27"/>
    <x v="3"/>
    <n v="68.989999999999995"/>
    <n v="429.29"/>
    <s v="Returning"/>
    <n v="0.18"/>
    <s v="Credit Card"/>
    <s v="Retail"/>
    <x v="4"/>
  </r>
  <r>
    <x v="46"/>
    <x v="101"/>
    <s v="Bob"/>
    <x v="2"/>
    <x v="119"/>
    <n v="9"/>
    <x v="2"/>
    <n v="2534.94"/>
    <n v="2755.56"/>
    <s v="Returning"/>
    <n v="0.13"/>
    <s v="Credit Card"/>
    <s v="Retail"/>
    <x v="3"/>
  </r>
  <r>
    <x v="46"/>
    <x v="42"/>
    <s v="Bob"/>
    <x v="1"/>
    <x v="120"/>
    <n v="47"/>
    <x v="3"/>
    <n v="2936.48"/>
    <n v="3096.64"/>
    <s v="New"/>
    <n v="0.06"/>
    <s v="Bank Transfer"/>
    <s v="Online"/>
    <x v="1"/>
  </r>
  <r>
    <x v="20"/>
    <x v="102"/>
    <s v="Bob"/>
    <x v="0"/>
    <x v="121"/>
    <n v="16"/>
    <x v="0"/>
    <n v="2915.88"/>
    <n v="3397.36"/>
    <s v="New"/>
    <n v="0.2"/>
    <s v="Bank Transfer"/>
    <s v="Retail"/>
    <x v="0"/>
  </r>
  <r>
    <x v="68"/>
    <x v="103"/>
    <s v="Alice"/>
    <x v="3"/>
    <x v="122"/>
    <n v="12"/>
    <x v="3"/>
    <n v="319.83"/>
    <n v="802.43"/>
    <s v="New"/>
    <n v="0.04"/>
    <s v="Credit Card"/>
    <s v="Retail"/>
    <x v="18"/>
  </r>
  <r>
    <x v="62"/>
    <x v="104"/>
    <s v="Bob"/>
    <x v="2"/>
    <x v="123"/>
    <n v="31"/>
    <x v="1"/>
    <n v="1604.52"/>
    <n v="1756.34"/>
    <s v="Returning"/>
    <n v="0.17"/>
    <s v="Cash"/>
    <s v="Retail"/>
    <x v="3"/>
  </r>
  <r>
    <x v="69"/>
    <x v="5"/>
    <s v="Alice"/>
    <x v="3"/>
    <x v="124"/>
    <n v="24"/>
    <x v="2"/>
    <n v="2521.0300000000002"/>
    <n v="2766.05"/>
    <s v="Returning"/>
    <n v="0.16"/>
    <s v="Bank Transfer"/>
    <s v="Retail"/>
    <x v="18"/>
  </r>
  <r>
    <x v="34"/>
    <x v="103"/>
    <s v="David"/>
    <x v="3"/>
    <x v="125"/>
    <n v="14"/>
    <x v="0"/>
    <n v="1122.07"/>
    <n v="1608.76"/>
    <s v="New"/>
    <n v="0.22"/>
    <s v="Cash"/>
    <s v="Retail"/>
    <x v="16"/>
  </r>
  <r>
    <x v="35"/>
    <x v="87"/>
    <s v="Charlie"/>
    <x v="2"/>
    <x v="126"/>
    <n v="45"/>
    <x v="2"/>
    <n v="4369.5"/>
    <n v="4381.8900000000003"/>
    <s v="Returning"/>
    <n v="0.02"/>
    <s v="Credit Card"/>
    <s v="Retail"/>
    <x v="10"/>
  </r>
  <r>
    <x v="3"/>
    <x v="90"/>
    <s v="Alice"/>
    <x v="3"/>
    <x v="127"/>
    <n v="25"/>
    <x v="2"/>
    <n v="481.19"/>
    <n v="693.4"/>
    <s v="New"/>
    <n v="0.27"/>
    <s v="Credit Card"/>
    <s v="Retail"/>
    <x v="18"/>
  </r>
  <r>
    <x v="70"/>
    <x v="105"/>
    <s v="David"/>
    <x v="0"/>
    <x v="128"/>
    <n v="34"/>
    <x v="0"/>
    <n v="2462.5500000000002"/>
    <n v="2521.77"/>
    <s v="New"/>
    <n v="0.21"/>
    <s v="Bank Transfer"/>
    <s v="Retail"/>
    <x v="11"/>
  </r>
  <r>
    <x v="54"/>
    <x v="106"/>
    <s v="Alice"/>
    <x v="1"/>
    <x v="129"/>
    <n v="3"/>
    <x v="2"/>
    <n v="3472.51"/>
    <n v="3732"/>
    <s v="New"/>
    <n v="0.06"/>
    <s v="Cash"/>
    <s v="Online"/>
    <x v="17"/>
  </r>
  <r>
    <x v="20"/>
    <x v="107"/>
    <s v="Alice"/>
    <x v="1"/>
    <x v="130"/>
    <n v="24"/>
    <x v="2"/>
    <n v="1345.67"/>
    <n v="1367.76"/>
    <s v="New"/>
    <n v="0.06"/>
    <s v="Bank Transfer"/>
    <s v="Online"/>
    <x v="17"/>
  </r>
  <r>
    <x v="57"/>
    <x v="108"/>
    <s v="Charlie"/>
    <x v="0"/>
    <x v="131"/>
    <n v="42"/>
    <x v="3"/>
    <n v="3139.99"/>
    <n v="3349.37"/>
    <s v="Returning"/>
    <n v="0.13"/>
    <s v="Credit Card"/>
    <s v="Retail"/>
    <x v="19"/>
  </r>
  <r>
    <x v="71"/>
    <x v="109"/>
    <s v="Eve"/>
    <x v="3"/>
    <x v="132"/>
    <n v="9"/>
    <x v="2"/>
    <n v="4155.46"/>
    <n v="4273.6000000000004"/>
    <s v="Returning"/>
    <n v="0.25"/>
    <s v="Cash"/>
    <s v="Retail"/>
    <x v="14"/>
  </r>
  <r>
    <x v="30"/>
    <x v="110"/>
    <s v="Eve"/>
    <x v="2"/>
    <x v="133"/>
    <n v="26"/>
    <x v="2"/>
    <n v="992.17"/>
    <n v="1263.49"/>
    <s v="Returning"/>
    <n v="0.25"/>
    <s v="Bank Transfer"/>
    <s v="Retail"/>
    <x v="6"/>
  </r>
  <r>
    <x v="9"/>
    <x v="111"/>
    <s v="Alice"/>
    <x v="3"/>
    <x v="134"/>
    <n v="20"/>
    <x v="2"/>
    <n v="4590.24"/>
    <n v="5088.28"/>
    <s v="New"/>
    <n v="0.16"/>
    <s v="Bank Transfer"/>
    <s v="Retail"/>
    <x v="18"/>
  </r>
  <r>
    <x v="72"/>
    <x v="112"/>
    <s v="Bob"/>
    <x v="0"/>
    <x v="135"/>
    <n v="40"/>
    <x v="2"/>
    <n v="2790.11"/>
    <n v="3192.37"/>
    <s v="Returning"/>
    <n v="0.26"/>
    <s v="Bank Transfer"/>
    <s v="Online"/>
    <x v="0"/>
  </r>
  <r>
    <x v="73"/>
    <x v="113"/>
    <s v="David"/>
    <x v="3"/>
    <x v="136"/>
    <n v="10"/>
    <x v="0"/>
    <n v="1531.2"/>
    <n v="1955.56"/>
    <s v="New"/>
    <n v="0"/>
    <s v="Credit Card"/>
    <s v="Online"/>
    <x v="16"/>
  </r>
  <r>
    <x v="44"/>
    <x v="114"/>
    <s v="Bob"/>
    <x v="1"/>
    <x v="137"/>
    <n v="19"/>
    <x v="1"/>
    <n v="2182.75"/>
    <n v="2504.0299999999902"/>
    <s v="New"/>
    <n v="0.01"/>
    <s v="Bank Transfer"/>
    <s v="Online"/>
    <x v="1"/>
  </r>
  <r>
    <x v="74"/>
    <x v="115"/>
    <s v="Bob"/>
    <x v="3"/>
    <x v="138"/>
    <n v="3"/>
    <x v="3"/>
    <n v="1595.35"/>
    <n v="1625.70999999999"/>
    <s v="New"/>
    <n v="0.27"/>
    <s v="Cash"/>
    <s v="Online"/>
    <x v="12"/>
  </r>
  <r>
    <x v="25"/>
    <x v="116"/>
    <s v="Alice"/>
    <x v="0"/>
    <x v="139"/>
    <n v="24"/>
    <x v="2"/>
    <n v="3639.3"/>
    <n v="3750.63"/>
    <s v="New"/>
    <n v="0.23"/>
    <s v="Bank Transfer"/>
    <s v="Retail"/>
    <x v="15"/>
  </r>
  <r>
    <x v="46"/>
    <x v="53"/>
    <s v="Alice"/>
    <x v="1"/>
    <x v="140"/>
    <n v="5"/>
    <x v="2"/>
    <n v="3991.69"/>
    <n v="4454.97"/>
    <s v="New"/>
    <n v="0.14000000000000001"/>
    <s v="Credit Card"/>
    <s v="Retail"/>
    <x v="17"/>
  </r>
  <r>
    <x v="65"/>
    <x v="117"/>
    <s v="Alice"/>
    <x v="3"/>
    <x v="141"/>
    <n v="3"/>
    <x v="0"/>
    <n v="4173.04"/>
    <n v="4362.4399999999996"/>
    <s v="New"/>
    <n v="0.23"/>
    <s v="Bank Transfer"/>
    <s v="Retail"/>
    <x v="18"/>
  </r>
  <r>
    <x v="73"/>
    <x v="106"/>
    <s v="Alice"/>
    <x v="3"/>
    <x v="142"/>
    <n v="27"/>
    <x v="1"/>
    <n v="4929.55"/>
    <n v="4990.33"/>
    <s v="Returning"/>
    <n v="0.28999999999999998"/>
    <s v="Credit Card"/>
    <s v="Online"/>
    <x v="18"/>
  </r>
  <r>
    <x v="31"/>
    <x v="106"/>
    <s v="Eve"/>
    <x v="1"/>
    <x v="143"/>
    <n v="16"/>
    <x v="2"/>
    <n v="3966.86"/>
    <n v="4321.04"/>
    <s v="Returning"/>
    <n v="0.23"/>
    <s v="Credit Card"/>
    <s v="Retail"/>
    <x v="8"/>
  </r>
  <r>
    <x v="47"/>
    <x v="118"/>
    <s v="Alice"/>
    <x v="2"/>
    <x v="144"/>
    <n v="49"/>
    <x v="0"/>
    <n v="3026.85"/>
    <n v="3183.58"/>
    <s v="Returning"/>
    <n v="0.25"/>
    <s v="Cash"/>
    <s v="Retail"/>
    <x v="9"/>
  </r>
  <r>
    <x v="12"/>
    <x v="18"/>
    <s v="Eve"/>
    <x v="1"/>
    <x v="145"/>
    <n v="15"/>
    <x v="3"/>
    <n v="1729.14"/>
    <n v="1870.88"/>
    <s v="Returning"/>
    <n v="0.23"/>
    <s v="Cash"/>
    <s v="Online"/>
    <x v="8"/>
  </r>
  <r>
    <x v="66"/>
    <x v="39"/>
    <s v="Eve"/>
    <x v="2"/>
    <x v="146"/>
    <n v="35"/>
    <x v="3"/>
    <n v="2745.75"/>
    <n v="3244.76"/>
    <s v="New"/>
    <n v="0.05"/>
    <s v="Bank Transfer"/>
    <s v="Online"/>
    <x v="6"/>
  </r>
  <r>
    <x v="68"/>
    <x v="119"/>
    <s v="Alice"/>
    <x v="0"/>
    <x v="147"/>
    <n v="12"/>
    <x v="2"/>
    <n v="253.29"/>
    <n v="683.78"/>
    <s v="New"/>
    <n v="0.25"/>
    <s v="Credit Card"/>
    <s v="Online"/>
    <x v="15"/>
  </r>
  <r>
    <x v="41"/>
    <x v="109"/>
    <s v="Charlie"/>
    <x v="0"/>
    <x v="148"/>
    <n v="41"/>
    <x v="2"/>
    <n v="3736.88"/>
    <n v="3946.77"/>
    <s v="Returning"/>
    <n v="0.06"/>
    <s v="Credit Card"/>
    <s v="Online"/>
    <x v="19"/>
  </r>
  <r>
    <x v="39"/>
    <x v="5"/>
    <s v="David"/>
    <x v="1"/>
    <x v="149"/>
    <n v="44"/>
    <x v="1"/>
    <n v="2257.48"/>
    <n v="2747.81"/>
    <s v="Returning"/>
    <n v="0.27"/>
    <s v="Cash"/>
    <s v="Online"/>
    <x v="13"/>
  </r>
  <r>
    <x v="75"/>
    <x v="120"/>
    <s v="Bob"/>
    <x v="1"/>
    <x v="150"/>
    <n v="26"/>
    <x v="1"/>
    <n v="149.11000000000001"/>
    <n v="477.67"/>
    <s v="Returning"/>
    <n v="0.14000000000000001"/>
    <s v="Cash"/>
    <s v="Retail"/>
    <x v="1"/>
  </r>
  <r>
    <x v="40"/>
    <x v="1"/>
    <s v="Eve"/>
    <x v="0"/>
    <x v="151"/>
    <n v="47"/>
    <x v="2"/>
    <n v="359.41"/>
    <n v="733"/>
    <s v="Returning"/>
    <n v="0.2"/>
    <s v="Bank Transfer"/>
    <s v="Retail"/>
    <x v="7"/>
  </r>
  <r>
    <x v="76"/>
    <x v="121"/>
    <s v="David"/>
    <x v="2"/>
    <x v="152"/>
    <n v="34"/>
    <x v="0"/>
    <n v="1967.96"/>
    <n v="1993.4"/>
    <s v="Returning"/>
    <n v="0.15"/>
    <s v="Credit Card"/>
    <s v="Online"/>
    <x v="2"/>
  </r>
  <r>
    <x v="2"/>
    <x v="15"/>
    <s v="Charlie"/>
    <x v="0"/>
    <x v="153"/>
    <n v="23"/>
    <x v="1"/>
    <n v="2937.94"/>
    <n v="3007.53"/>
    <s v="Returning"/>
    <n v="0.03"/>
    <s v="Cash"/>
    <s v="Retail"/>
    <x v="19"/>
  </r>
  <r>
    <x v="41"/>
    <x v="122"/>
    <s v="Bob"/>
    <x v="1"/>
    <x v="154"/>
    <n v="31"/>
    <x v="2"/>
    <n v="2347.81"/>
    <n v="2668.02"/>
    <s v="Returning"/>
    <n v="0.09"/>
    <s v="Bank Transfer"/>
    <s v="Retail"/>
    <x v="1"/>
  </r>
  <r>
    <x v="27"/>
    <x v="121"/>
    <s v="Bob"/>
    <x v="0"/>
    <x v="155"/>
    <n v="20"/>
    <x v="1"/>
    <n v="3115.06"/>
    <n v="3565.58"/>
    <s v="Returning"/>
    <n v="0.3"/>
    <s v="Credit Card"/>
    <s v="Retail"/>
    <x v="0"/>
  </r>
  <r>
    <x v="77"/>
    <x v="61"/>
    <s v="Eve"/>
    <x v="1"/>
    <x v="156"/>
    <n v="12"/>
    <x v="2"/>
    <n v="2427.46"/>
    <n v="2743.09"/>
    <s v="New"/>
    <n v="0.28999999999999998"/>
    <s v="Credit Card"/>
    <s v="Retail"/>
    <x v="8"/>
  </r>
  <r>
    <x v="32"/>
    <x v="123"/>
    <s v="Alice"/>
    <x v="1"/>
    <x v="157"/>
    <n v="23"/>
    <x v="3"/>
    <n v="3325.43"/>
    <n v="3401.1"/>
    <s v="New"/>
    <n v="0.1"/>
    <s v="Cash"/>
    <s v="Online"/>
    <x v="17"/>
  </r>
  <r>
    <x v="53"/>
    <x v="15"/>
    <s v="Charlie"/>
    <x v="0"/>
    <x v="158"/>
    <n v="4"/>
    <x v="2"/>
    <n v="1134.67"/>
    <n v="1201.3900000000001"/>
    <s v="New"/>
    <n v="0.3"/>
    <s v="Bank Transfer"/>
    <s v="Retail"/>
    <x v="19"/>
  </r>
  <r>
    <x v="78"/>
    <x v="124"/>
    <s v="Eve"/>
    <x v="2"/>
    <x v="159"/>
    <n v="23"/>
    <x v="3"/>
    <n v="608.57000000000005"/>
    <n v="1032.22"/>
    <s v="New"/>
    <n v="0.25"/>
    <s v="Cash"/>
    <s v="Retail"/>
    <x v="6"/>
  </r>
  <r>
    <x v="0"/>
    <x v="125"/>
    <s v="Charlie"/>
    <x v="3"/>
    <x v="160"/>
    <n v="48"/>
    <x v="1"/>
    <n v="3002.35"/>
    <n v="3080.61"/>
    <s v="Returning"/>
    <n v="0.18"/>
    <s v="Bank Transfer"/>
    <s v="Retail"/>
    <x v="4"/>
  </r>
  <r>
    <x v="78"/>
    <x v="126"/>
    <s v="Alice"/>
    <x v="0"/>
    <x v="161"/>
    <n v="48"/>
    <x v="2"/>
    <n v="2449.21"/>
    <n v="2714.12"/>
    <s v="New"/>
    <n v="0.01"/>
    <s v="Credit Card"/>
    <s v="Online"/>
    <x v="15"/>
  </r>
  <r>
    <x v="38"/>
    <x v="35"/>
    <s v="Alice"/>
    <x v="3"/>
    <x v="162"/>
    <n v="1"/>
    <x v="1"/>
    <n v="182.99"/>
    <n v="211.18"/>
    <s v="Returning"/>
    <n v="0.27"/>
    <s v="Bank Transfer"/>
    <s v="Retail"/>
    <x v="18"/>
  </r>
  <r>
    <x v="79"/>
    <x v="69"/>
    <s v="Eve"/>
    <x v="0"/>
    <x v="163"/>
    <n v="25"/>
    <x v="3"/>
    <n v="1933.39"/>
    <n v="1982.92"/>
    <s v="New"/>
    <n v="0.17"/>
    <s v="Bank Transfer"/>
    <s v="Online"/>
    <x v="7"/>
  </r>
  <r>
    <x v="71"/>
    <x v="99"/>
    <s v="Alice"/>
    <x v="3"/>
    <x v="164"/>
    <n v="2"/>
    <x v="2"/>
    <n v="575.32000000000005"/>
    <n v="914.77"/>
    <s v="Returning"/>
    <n v="0.26"/>
    <s v="Bank Transfer"/>
    <s v="Online"/>
    <x v="18"/>
  </r>
  <r>
    <x v="2"/>
    <x v="127"/>
    <s v="David"/>
    <x v="2"/>
    <x v="165"/>
    <n v="30"/>
    <x v="1"/>
    <n v="2680.22"/>
    <n v="3027.9199999999901"/>
    <s v="Returning"/>
    <n v="0.25"/>
    <s v="Bank Transfer"/>
    <s v="Online"/>
    <x v="2"/>
  </r>
  <r>
    <x v="80"/>
    <x v="128"/>
    <s v="Bob"/>
    <x v="2"/>
    <x v="166"/>
    <n v="3"/>
    <x v="3"/>
    <n v="2009.1"/>
    <n v="2186.42"/>
    <s v="New"/>
    <n v="0.25"/>
    <s v="Bank Transfer"/>
    <s v="Online"/>
    <x v="3"/>
  </r>
  <r>
    <x v="63"/>
    <x v="111"/>
    <s v="Eve"/>
    <x v="0"/>
    <x v="167"/>
    <n v="21"/>
    <x v="1"/>
    <n v="3085.1"/>
    <n v="3200.75"/>
    <s v="New"/>
    <n v="0.21"/>
    <s v="Cash"/>
    <s v="Retail"/>
    <x v="7"/>
  </r>
  <r>
    <x v="49"/>
    <x v="40"/>
    <s v="Charlie"/>
    <x v="1"/>
    <x v="168"/>
    <n v="25"/>
    <x v="0"/>
    <n v="4037.73"/>
    <n v="4446.45"/>
    <s v="Returning"/>
    <n v="0.09"/>
    <s v="Bank Transfer"/>
    <s v="Online"/>
    <x v="5"/>
  </r>
  <r>
    <x v="81"/>
    <x v="129"/>
    <s v="David"/>
    <x v="3"/>
    <x v="169"/>
    <n v="20"/>
    <x v="3"/>
    <n v="1533.36"/>
    <n v="1649.73999999999"/>
    <s v="Returning"/>
    <n v="0.1"/>
    <s v="Bank Transfer"/>
    <s v="Online"/>
    <x v="16"/>
  </r>
  <r>
    <x v="82"/>
    <x v="130"/>
    <s v="Eve"/>
    <x v="1"/>
    <x v="170"/>
    <n v="49"/>
    <x v="3"/>
    <n v="4812.41"/>
    <n v="5088"/>
    <s v="Returning"/>
    <n v="0.09"/>
    <s v="Credit Card"/>
    <s v="Online"/>
    <x v="8"/>
  </r>
  <r>
    <x v="43"/>
    <x v="131"/>
    <s v="Alice"/>
    <x v="1"/>
    <x v="171"/>
    <n v="22"/>
    <x v="3"/>
    <n v="2701.39"/>
    <n v="3185.81"/>
    <s v="New"/>
    <n v="0.01"/>
    <s v="Bank Transfer"/>
    <s v="Online"/>
    <x v="17"/>
  </r>
  <r>
    <x v="26"/>
    <x v="132"/>
    <s v="Alice"/>
    <x v="1"/>
    <x v="172"/>
    <n v="21"/>
    <x v="2"/>
    <n v="3110.54"/>
    <n v="3192.99"/>
    <s v="New"/>
    <n v="0.17"/>
    <s v="Credit Card"/>
    <s v="Online"/>
    <x v="17"/>
  </r>
  <r>
    <x v="74"/>
    <x v="13"/>
    <s v="Alice"/>
    <x v="2"/>
    <x v="173"/>
    <n v="33"/>
    <x v="2"/>
    <n v="3419.33"/>
    <n v="3890.3599999999901"/>
    <s v="Returning"/>
    <n v="0.21"/>
    <s v="Cash"/>
    <s v="Retail"/>
    <x v="9"/>
  </r>
  <r>
    <x v="69"/>
    <x v="133"/>
    <s v="Alice"/>
    <x v="0"/>
    <x v="174"/>
    <n v="38"/>
    <x v="2"/>
    <n v="3350.32"/>
    <n v="3449.94"/>
    <s v="New"/>
    <n v="0.26"/>
    <s v="Cash"/>
    <s v="Online"/>
    <x v="15"/>
  </r>
  <r>
    <x v="83"/>
    <x v="134"/>
    <s v="Charlie"/>
    <x v="0"/>
    <x v="175"/>
    <n v="15"/>
    <x v="0"/>
    <n v="2579.31"/>
    <n v="2867.36"/>
    <s v="Returning"/>
    <n v="0.04"/>
    <s v="Bank Transfer"/>
    <s v="Retail"/>
    <x v="19"/>
  </r>
  <r>
    <x v="27"/>
    <x v="120"/>
    <s v="David"/>
    <x v="2"/>
    <x v="176"/>
    <n v="46"/>
    <x v="0"/>
    <n v="2172.38"/>
    <n v="2367.11"/>
    <s v="New"/>
    <n v="0.16"/>
    <s v="Cash"/>
    <s v="Retail"/>
    <x v="2"/>
  </r>
  <r>
    <x v="64"/>
    <x v="121"/>
    <s v="Bob"/>
    <x v="2"/>
    <x v="177"/>
    <n v="15"/>
    <x v="3"/>
    <n v="316.22000000000003"/>
    <n v="799.04"/>
    <s v="New"/>
    <n v="0"/>
    <s v="Bank Transfer"/>
    <s v="Online"/>
    <x v="3"/>
  </r>
  <r>
    <x v="30"/>
    <x v="135"/>
    <s v="Charlie"/>
    <x v="0"/>
    <x v="178"/>
    <n v="46"/>
    <x v="0"/>
    <n v="159.32"/>
    <n v="303.36"/>
    <s v="New"/>
    <n v="0.03"/>
    <s v="Cash"/>
    <s v="Retail"/>
    <x v="19"/>
  </r>
  <r>
    <x v="84"/>
    <x v="70"/>
    <s v="Charlie"/>
    <x v="1"/>
    <x v="179"/>
    <n v="25"/>
    <x v="1"/>
    <n v="1821.91"/>
    <n v="2027.74"/>
    <s v="New"/>
    <n v="0.02"/>
    <s v="Bank Transfer"/>
    <s v="Retail"/>
    <x v="5"/>
  </r>
  <r>
    <x v="51"/>
    <x v="121"/>
    <s v="Bob"/>
    <x v="3"/>
    <x v="180"/>
    <n v="21"/>
    <x v="3"/>
    <n v="1701.62"/>
    <n v="2193.2199999999998"/>
    <s v="New"/>
    <n v="0.22"/>
    <s v="Bank Transfer"/>
    <s v="Retail"/>
    <x v="12"/>
  </r>
  <r>
    <x v="69"/>
    <x v="57"/>
    <s v="Bob"/>
    <x v="3"/>
    <x v="181"/>
    <n v="24"/>
    <x v="3"/>
    <n v="1969.09"/>
    <n v="2241.96"/>
    <s v="Returning"/>
    <n v="0.02"/>
    <s v="Credit Card"/>
    <s v="Online"/>
    <x v="12"/>
  </r>
  <r>
    <x v="69"/>
    <x v="50"/>
    <s v="Alice"/>
    <x v="3"/>
    <x v="182"/>
    <n v="5"/>
    <x v="1"/>
    <n v="734.92"/>
    <n v="991.21"/>
    <s v="Returning"/>
    <n v="0.21"/>
    <s v="Credit Card"/>
    <s v="Online"/>
    <x v="18"/>
  </r>
  <r>
    <x v="44"/>
    <x v="136"/>
    <s v="Charlie"/>
    <x v="1"/>
    <x v="183"/>
    <n v="6"/>
    <x v="3"/>
    <n v="3703.93"/>
    <n v="3840.24"/>
    <s v="New"/>
    <n v="7.0000000000000007E-2"/>
    <s v="Credit Card"/>
    <s v="Online"/>
    <x v="5"/>
  </r>
  <r>
    <x v="42"/>
    <x v="46"/>
    <s v="Eve"/>
    <x v="0"/>
    <x v="184"/>
    <n v="49"/>
    <x v="0"/>
    <n v="4291.97"/>
    <n v="4645.6400000000003"/>
    <s v="Returning"/>
    <n v="0.26"/>
    <s v="Credit Card"/>
    <s v="Online"/>
    <x v="7"/>
  </r>
  <r>
    <x v="16"/>
    <x v="75"/>
    <s v="Bob"/>
    <x v="2"/>
    <x v="185"/>
    <n v="43"/>
    <x v="2"/>
    <n v="4696.6400000000003"/>
    <n v="4713.68"/>
    <s v="Returning"/>
    <n v="0.24"/>
    <s v="Bank Transfer"/>
    <s v="Online"/>
    <x v="3"/>
  </r>
  <r>
    <x v="30"/>
    <x v="25"/>
    <s v="Bob"/>
    <x v="0"/>
    <x v="186"/>
    <n v="48"/>
    <x v="1"/>
    <n v="2487.19"/>
    <n v="2521.4499999999998"/>
    <s v="New"/>
    <n v="0.28999999999999998"/>
    <s v="Cash"/>
    <s v="Online"/>
    <x v="0"/>
  </r>
  <r>
    <x v="8"/>
    <x v="137"/>
    <s v="David"/>
    <x v="1"/>
    <x v="187"/>
    <n v="44"/>
    <x v="0"/>
    <n v="3519.29"/>
    <n v="3822.98"/>
    <s v="Returning"/>
    <n v="0.27"/>
    <s v="Bank Transfer"/>
    <s v="Online"/>
    <x v="13"/>
  </r>
  <r>
    <x v="28"/>
    <x v="30"/>
    <s v="Eve"/>
    <x v="2"/>
    <x v="188"/>
    <n v="47"/>
    <x v="1"/>
    <n v="4284.9799999999996"/>
    <n v="4462.3999999999996"/>
    <s v="New"/>
    <n v="0.28000000000000003"/>
    <s v="Credit Card"/>
    <s v="Retail"/>
    <x v="6"/>
  </r>
  <r>
    <x v="23"/>
    <x v="138"/>
    <s v="Eve"/>
    <x v="1"/>
    <x v="189"/>
    <n v="23"/>
    <x v="1"/>
    <n v="2120.54"/>
    <n v="2597.67"/>
    <s v="Returning"/>
    <n v="0.26"/>
    <s v="Credit Card"/>
    <s v="Retail"/>
    <x v="8"/>
  </r>
  <r>
    <x v="30"/>
    <x v="9"/>
    <s v="Bob"/>
    <x v="3"/>
    <x v="190"/>
    <n v="4"/>
    <x v="3"/>
    <n v="1581.59"/>
    <n v="2034.1499999999901"/>
    <s v="Returning"/>
    <n v="0.21"/>
    <s v="Cash"/>
    <s v="Online"/>
    <x v="12"/>
  </r>
  <r>
    <x v="85"/>
    <x v="139"/>
    <s v="Alice"/>
    <x v="3"/>
    <x v="191"/>
    <n v="27"/>
    <x v="3"/>
    <n v="4686.79"/>
    <n v="5046.51"/>
    <s v="Returning"/>
    <n v="0.05"/>
    <s v="Credit Card"/>
    <s v="Retail"/>
    <x v="18"/>
  </r>
  <r>
    <x v="66"/>
    <x v="140"/>
    <s v="David"/>
    <x v="1"/>
    <x v="192"/>
    <n v="18"/>
    <x v="0"/>
    <n v="2602.6"/>
    <n v="3013.49"/>
    <s v="Returning"/>
    <n v="0.08"/>
    <s v="Bank Transfer"/>
    <s v="Online"/>
    <x v="13"/>
  </r>
  <r>
    <x v="75"/>
    <x v="83"/>
    <s v="Eve"/>
    <x v="2"/>
    <x v="193"/>
    <n v="21"/>
    <x v="1"/>
    <n v="2511.41"/>
    <n v="2848.3999999999901"/>
    <s v="Returning"/>
    <n v="0.06"/>
    <s v="Bank Transfer"/>
    <s v="Online"/>
    <x v="6"/>
  </r>
  <r>
    <x v="30"/>
    <x v="141"/>
    <s v="Bob"/>
    <x v="2"/>
    <x v="194"/>
    <n v="28"/>
    <x v="3"/>
    <n v="933.16"/>
    <n v="1004.69999999999"/>
    <s v="Returning"/>
    <n v="0.18"/>
    <s v="Bank Transfer"/>
    <s v="Online"/>
    <x v="3"/>
  </r>
  <r>
    <x v="77"/>
    <x v="142"/>
    <s v="Eve"/>
    <x v="0"/>
    <x v="195"/>
    <n v="35"/>
    <x v="3"/>
    <n v="585.37"/>
    <n v="970.49"/>
    <s v="Returning"/>
    <n v="0.15"/>
    <s v="Bank Transfer"/>
    <s v="Retail"/>
    <x v="7"/>
  </r>
  <r>
    <x v="12"/>
    <x v="124"/>
    <s v="David"/>
    <x v="3"/>
    <x v="196"/>
    <n v="22"/>
    <x v="1"/>
    <n v="4218.43"/>
    <n v="4331.42"/>
    <s v="New"/>
    <n v="0.26"/>
    <s v="Bank Transfer"/>
    <s v="Online"/>
    <x v="16"/>
  </r>
  <r>
    <x v="86"/>
    <x v="128"/>
    <s v="David"/>
    <x v="0"/>
    <x v="197"/>
    <n v="40"/>
    <x v="0"/>
    <n v="3089.96"/>
    <n v="3258.45"/>
    <s v="New"/>
    <n v="0.28999999999999998"/>
    <s v="Cash"/>
    <s v="Online"/>
    <x v="11"/>
  </r>
  <r>
    <x v="3"/>
    <x v="143"/>
    <s v="Charlie"/>
    <x v="0"/>
    <x v="198"/>
    <n v="23"/>
    <x v="0"/>
    <n v="1662.83"/>
    <n v="2074.25"/>
    <s v="New"/>
    <n v="0.12"/>
    <s v="Bank Transfer"/>
    <s v="Online"/>
    <x v="19"/>
  </r>
  <r>
    <x v="75"/>
    <x v="61"/>
    <s v="Bob"/>
    <x v="1"/>
    <x v="199"/>
    <n v="3"/>
    <x v="1"/>
    <n v="999.09"/>
    <n v="1271.99"/>
    <s v="New"/>
    <n v="0.15"/>
    <s v="Credit Card"/>
    <s v="Online"/>
    <x v="1"/>
  </r>
  <r>
    <x v="40"/>
    <x v="39"/>
    <s v="David"/>
    <x v="1"/>
    <x v="200"/>
    <n v="40"/>
    <x v="0"/>
    <n v="2799.71"/>
    <n v="3231.08"/>
    <s v="Returning"/>
    <n v="0.28999999999999998"/>
    <s v="Credit Card"/>
    <s v="Retail"/>
    <x v="13"/>
  </r>
  <r>
    <x v="30"/>
    <x v="144"/>
    <s v="Charlie"/>
    <x v="0"/>
    <x v="201"/>
    <n v="10"/>
    <x v="3"/>
    <n v="2940.4"/>
    <n v="3054.79"/>
    <s v="Returning"/>
    <n v="0.08"/>
    <s v="Credit Card"/>
    <s v="Online"/>
    <x v="19"/>
  </r>
  <r>
    <x v="72"/>
    <x v="112"/>
    <s v="Charlie"/>
    <x v="3"/>
    <x v="202"/>
    <n v="25"/>
    <x v="1"/>
    <n v="1074.6199999999999"/>
    <n v="1382.4299999999901"/>
    <s v="Returning"/>
    <n v="0.24"/>
    <s v="Credit Card"/>
    <s v="Retail"/>
    <x v="4"/>
  </r>
  <r>
    <x v="85"/>
    <x v="131"/>
    <s v="Eve"/>
    <x v="1"/>
    <x v="203"/>
    <n v="49"/>
    <x v="3"/>
    <n v="4264.46"/>
    <n v="4315.5200000000004"/>
    <s v="New"/>
    <n v="7.0000000000000007E-2"/>
    <s v="Cash"/>
    <s v="Retail"/>
    <x v="8"/>
  </r>
  <r>
    <x v="32"/>
    <x v="145"/>
    <s v="Eve"/>
    <x v="0"/>
    <x v="204"/>
    <n v="8"/>
    <x v="2"/>
    <n v="467.11"/>
    <n v="792.21"/>
    <s v="New"/>
    <n v="0.2"/>
    <s v="Credit Card"/>
    <s v="Online"/>
    <x v="7"/>
  </r>
  <r>
    <x v="44"/>
    <x v="146"/>
    <s v="Charlie"/>
    <x v="0"/>
    <x v="205"/>
    <n v="11"/>
    <x v="2"/>
    <n v="1812.66"/>
    <n v="2196.3000000000002"/>
    <s v="New"/>
    <n v="0.08"/>
    <s v="Cash"/>
    <s v="Online"/>
    <x v="19"/>
  </r>
  <r>
    <x v="11"/>
    <x v="147"/>
    <s v="Eve"/>
    <x v="0"/>
    <x v="206"/>
    <n v="5"/>
    <x v="0"/>
    <n v="3417.9"/>
    <n v="3714.52"/>
    <s v="Returning"/>
    <n v="0.27"/>
    <s v="Credit Card"/>
    <s v="Retail"/>
    <x v="7"/>
  </r>
  <r>
    <x v="76"/>
    <x v="148"/>
    <s v="David"/>
    <x v="0"/>
    <x v="207"/>
    <n v="45"/>
    <x v="2"/>
    <n v="1406.9"/>
    <n v="1547.35"/>
    <s v="New"/>
    <n v="0.17"/>
    <s v="Cash"/>
    <s v="Retail"/>
    <x v="11"/>
  </r>
  <r>
    <x v="26"/>
    <x v="149"/>
    <s v="Alice"/>
    <x v="0"/>
    <x v="208"/>
    <n v="37"/>
    <x v="3"/>
    <n v="4146.99"/>
    <n v="4172.3499999999904"/>
    <s v="Returning"/>
    <n v="0.06"/>
    <s v="Cash"/>
    <s v="Retail"/>
    <x v="15"/>
  </r>
  <r>
    <x v="82"/>
    <x v="106"/>
    <s v="David"/>
    <x v="0"/>
    <x v="209"/>
    <n v="45"/>
    <x v="2"/>
    <n v="3712.35"/>
    <n v="3780.88"/>
    <s v="New"/>
    <n v="7.0000000000000007E-2"/>
    <s v="Cash"/>
    <s v="Retail"/>
    <x v="11"/>
  </r>
  <r>
    <x v="78"/>
    <x v="150"/>
    <s v="Charlie"/>
    <x v="1"/>
    <x v="210"/>
    <n v="38"/>
    <x v="3"/>
    <n v="3955.66"/>
    <n v="4270.59"/>
    <s v="Returning"/>
    <n v="0.15"/>
    <s v="Credit Card"/>
    <s v="Online"/>
    <x v="5"/>
  </r>
  <r>
    <x v="9"/>
    <x v="1"/>
    <s v="Charlie"/>
    <x v="3"/>
    <x v="211"/>
    <n v="29"/>
    <x v="0"/>
    <n v="639.58000000000004"/>
    <n v="1107.45"/>
    <s v="New"/>
    <n v="0.28999999999999998"/>
    <s v="Cash"/>
    <s v="Retail"/>
    <x v="4"/>
  </r>
  <r>
    <x v="0"/>
    <x v="106"/>
    <s v="David"/>
    <x v="0"/>
    <x v="212"/>
    <n v="5"/>
    <x v="0"/>
    <n v="745.71"/>
    <n v="856.91"/>
    <s v="Returning"/>
    <n v="0.23"/>
    <s v="Bank Transfer"/>
    <s v="Retail"/>
    <x v="11"/>
  </r>
  <r>
    <x v="30"/>
    <x v="94"/>
    <s v="Eve"/>
    <x v="2"/>
    <x v="213"/>
    <n v="9"/>
    <x v="3"/>
    <n v="1468.05"/>
    <n v="1838.21"/>
    <s v="New"/>
    <n v="0.15"/>
    <s v="Bank Transfer"/>
    <s v="Retail"/>
    <x v="6"/>
  </r>
  <r>
    <x v="22"/>
    <x v="151"/>
    <s v="Eve"/>
    <x v="1"/>
    <x v="214"/>
    <n v="48"/>
    <x v="2"/>
    <n v="2614.48"/>
    <n v="3049.04"/>
    <s v="New"/>
    <n v="0.1"/>
    <s v="Credit Card"/>
    <s v="Retail"/>
    <x v="8"/>
  </r>
  <r>
    <x v="0"/>
    <x v="64"/>
    <s v="Charlie"/>
    <x v="1"/>
    <x v="215"/>
    <n v="2"/>
    <x v="0"/>
    <n v="3752.68"/>
    <n v="4017.91"/>
    <s v="Returning"/>
    <n v="0.16"/>
    <s v="Bank Transfer"/>
    <s v="Online"/>
    <x v="5"/>
  </r>
  <r>
    <x v="70"/>
    <x v="50"/>
    <s v="Bob"/>
    <x v="0"/>
    <x v="216"/>
    <n v="1"/>
    <x v="1"/>
    <n v="4190.83"/>
    <n v="4528.7699999999904"/>
    <s v="Returning"/>
    <n v="0.22"/>
    <s v="Bank Transfer"/>
    <s v="Online"/>
    <x v="0"/>
  </r>
  <r>
    <x v="36"/>
    <x v="48"/>
    <s v="Eve"/>
    <x v="1"/>
    <x v="217"/>
    <n v="40"/>
    <x v="0"/>
    <n v="3536.46"/>
    <n v="3945.82"/>
    <s v="New"/>
    <n v="0.24"/>
    <s v="Bank Transfer"/>
    <s v="Online"/>
    <x v="8"/>
  </r>
  <r>
    <x v="15"/>
    <x v="62"/>
    <s v="David"/>
    <x v="0"/>
    <x v="218"/>
    <n v="30"/>
    <x v="2"/>
    <n v="4646.55"/>
    <n v="4784.28"/>
    <s v="Returning"/>
    <n v="0.1"/>
    <s v="Credit Card"/>
    <s v="Retail"/>
    <x v="11"/>
  </r>
  <r>
    <x v="12"/>
    <x v="90"/>
    <s v="Eve"/>
    <x v="3"/>
    <x v="219"/>
    <n v="11"/>
    <x v="1"/>
    <n v="3706.78"/>
    <n v="3862.26"/>
    <s v="New"/>
    <n v="0.22"/>
    <s v="Credit Card"/>
    <s v="Retail"/>
    <x v="14"/>
  </r>
  <r>
    <x v="87"/>
    <x v="152"/>
    <s v="David"/>
    <x v="3"/>
    <x v="220"/>
    <n v="28"/>
    <x v="2"/>
    <n v="1566.03"/>
    <n v="1576.34"/>
    <s v="Returning"/>
    <n v="0.2"/>
    <s v="Bank Transfer"/>
    <s v="Online"/>
    <x v="16"/>
  </r>
  <r>
    <x v="48"/>
    <x v="153"/>
    <s v="Charlie"/>
    <x v="1"/>
    <x v="221"/>
    <n v="44"/>
    <x v="3"/>
    <n v="1362.15"/>
    <n v="1844.07"/>
    <s v="New"/>
    <n v="0.28999999999999998"/>
    <s v="Credit Card"/>
    <s v="Online"/>
    <x v="5"/>
  </r>
  <r>
    <x v="26"/>
    <x v="154"/>
    <s v="Eve"/>
    <x v="1"/>
    <x v="222"/>
    <n v="12"/>
    <x v="1"/>
    <n v="3496.15"/>
    <n v="3955.75"/>
    <s v="Returning"/>
    <n v="0.28000000000000003"/>
    <s v="Cash"/>
    <s v="Retail"/>
    <x v="8"/>
  </r>
  <r>
    <x v="15"/>
    <x v="155"/>
    <s v="David"/>
    <x v="2"/>
    <x v="223"/>
    <n v="39"/>
    <x v="2"/>
    <n v="1004.71"/>
    <n v="1389.35"/>
    <s v="New"/>
    <n v="0.24"/>
    <s v="Bank Transfer"/>
    <s v="Online"/>
    <x v="2"/>
  </r>
  <r>
    <x v="15"/>
    <x v="156"/>
    <s v="Charlie"/>
    <x v="1"/>
    <x v="224"/>
    <n v="26"/>
    <x v="1"/>
    <n v="508.94"/>
    <n v="557.69000000000005"/>
    <s v="New"/>
    <n v="0.22"/>
    <s v="Credit Card"/>
    <s v="Retail"/>
    <x v="5"/>
  </r>
  <r>
    <x v="28"/>
    <x v="157"/>
    <s v="Bob"/>
    <x v="2"/>
    <x v="225"/>
    <n v="13"/>
    <x v="2"/>
    <n v="2684.5"/>
    <n v="2913.78"/>
    <s v="New"/>
    <n v="0.08"/>
    <s v="Credit Card"/>
    <s v="Retail"/>
    <x v="3"/>
  </r>
  <r>
    <x v="52"/>
    <x v="87"/>
    <s v="David"/>
    <x v="3"/>
    <x v="226"/>
    <n v="8"/>
    <x v="1"/>
    <n v="4117.13"/>
    <n v="4177.0600000000004"/>
    <s v="Returning"/>
    <n v="0.25"/>
    <s v="Bank Transfer"/>
    <s v="Retail"/>
    <x v="16"/>
  </r>
  <r>
    <x v="7"/>
    <x v="158"/>
    <s v="Bob"/>
    <x v="3"/>
    <x v="227"/>
    <n v="28"/>
    <x v="2"/>
    <n v="551.83000000000004"/>
    <n v="569.63"/>
    <s v="New"/>
    <n v="0.13"/>
    <s v="Credit Card"/>
    <s v="Retail"/>
    <x v="12"/>
  </r>
  <r>
    <x v="78"/>
    <x v="159"/>
    <s v="Bob"/>
    <x v="0"/>
    <x v="228"/>
    <n v="30"/>
    <x v="3"/>
    <n v="3969.86"/>
    <n v="4281.79"/>
    <s v="Returning"/>
    <n v="0.08"/>
    <s v="Bank Transfer"/>
    <s v="Retail"/>
    <x v="0"/>
  </r>
  <r>
    <x v="85"/>
    <x v="91"/>
    <s v="Alice"/>
    <x v="3"/>
    <x v="229"/>
    <n v="9"/>
    <x v="1"/>
    <n v="4067.28"/>
    <n v="4548.09"/>
    <s v="Returning"/>
    <n v="0.12"/>
    <s v="Credit Card"/>
    <s v="Retail"/>
    <x v="18"/>
  </r>
  <r>
    <x v="66"/>
    <x v="160"/>
    <s v="Eve"/>
    <x v="2"/>
    <x v="230"/>
    <n v="39"/>
    <x v="1"/>
    <n v="2437.2600000000002"/>
    <n v="2889.67"/>
    <s v="Returning"/>
    <n v="0.25"/>
    <s v="Cash"/>
    <s v="Online"/>
    <x v="6"/>
  </r>
  <r>
    <x v="88"/>
    <x v="146"/>
    <s v="David"/>
    <x v="1"/>
    <x v="231"/>
    <n v="31"/>
    <x v="1"/>
    <n v="333.69"/>
    <n v="685.1"/>
    <s v="New"/>
    <n v="0.04"/>
    <s v="Bank Transfer"/>
    <s v="Online"/>
    <x v="13"/>
  </r>
  <r>
    <x v="15"/>
    <x v="6"/>
    <s v="Bob"/>
    <x v="0"/>
    <x v="232"/>
    <n v="21"/>
    <x v="1"/>
    <n v="914.22"/>
    <n v="971.57"/>
    <s v="Returning"/>
    <n v="0.14000000000000001"/>
    <s v="Cash"/>
    <s v="Online"/>
    <x v="0"/>
  </r>
  <r>
    <x v="14"/>
    <x v="145"/>
    <s v="Alice"/>
    <x v="2"/>
    <x v="233"/>
    <n v="47"/>
    <x v="3"/>
    <n v="3551.76"/>
    <n v="3696.1"/>
    <s v="Returning"/>
    <n v="0.15"/>
    <s v="Bank Transfer"/>
    <s v="Retail"/>
    <x v="9"/>
  </r>
  <r>
    <x v="44"/>
    <x v="161"/>
    <s v="Charlie"/>
    <x v="1"/>
    <x v="234"/>
    <n v="34"/>
    <x v="1"/>
    <n v="3573.3"/>
    <n v="3740.13"/>
    <s v="Returning"/>
    <n v="0.01"/>
    <s v="Credit Card"/>
    <s v="Online"/>
    <x v="5"/>
  </r>
  <r>
    <x v="41"/>
    <x v="162"/>
    <s v="David"/>
    <x v="0"/>
    <x v="235"/>
    <n v="31"/>
    <x v="0"/>
    <n v="4496.8599999999997"/>
    <n v="4880.7999999999902"/>
    <s v="New"/>
    <n v="0.06"/>
    <s v="Cash"/>
    <s v="Retail"/>
    <x v="11"/>
  </r>
  <r>
    <x v="82"/>
    <x v="163"/>
    <s v="Bob"/>
    <x v="3"/>
    <x v="236"/>
    <n v="25"/>
    <x v="3"/>
    <n v="2934.3"/>
    <n v="3337.4"/>
    <s v="Returning"/>
    <n v="0.25"/>
    <s v="Credit Card"/>
    <s v="Retail"/>
    <x v="12"/>
  </r>
  <r>
    <x v="86"/>
    <x v="58"/>
    <s v="Eve"/>
    <x v="2"/>
    <x v="237"/>
    <n v="12"/>
    <x v="0"/>
    <n v="664.33"/>
    <n v="863.03"/>
    <s v="Returning"/>
    <n v="0.25"/>
    <s v="Bank Transfer"/>
    <s v="Retail"/>
    <x v="6"/>
  </r>
  <r>
    <x v="82"/>
    <x v="78"/>
    <s v="Alice"/>
    <x v="1"/>
    <x v="238"/>
    <n v="1"/>
    <x v="1"/>
    <n v="651"/>
    <n v="865.76"/>
    <s v="Returning"/>
    <n v="0.09"/>
    <s v="Bank Transfer"/>
    <s v="Retail"/>
    <x v="17"/>
  </r>
  <r>
    <x v="89"/>
    <x v="164"/>
    <s v="Bob"/>
    <x v="0"/>
    <x v="239"/>
    <n v="22"/>
    <x v="2"/>
    <n v="3619.61"/>
    <n v="3651.42"/>
    <s v="Returning"/>
    <n v="0.26"/>
    <s v="Bank Transfer"/>
    <s v="Online"/>
    <x v="0"/>
  </r>
  <r>
    <x v="33"/>
    <x v="165"/>
    <s v="Eve"/>
    <x v="0"/>
    <x v="240"/>
    <n v="40"/>
    <x v="0"/>
    <n v="959.73"/>
    <n v="1111.4100000000001"/>
    <s v="New"/>
    <n v="0.23"/>
    <s v="Bank Transfer"/>
    <s v="Online"/>
    <x v="7"/>
  </r>
  <r>
    <x v="8"/>
    <x v="117"/>
    <s v="Bob"/>
    <x v="3"/>
    <x v="241"/>
    <n v="37"/>
    <x v="1"/>
    <n v="1675.51"/>
    <n v="1906.6399999999901"/>
    <s v="New"/>
    <n v="0.13"/>
    <s v="Bank Transfer"/>
    <s v="Online"/>
    <x v="12"/>
  </r>
  <r>
    <x v="87"/>
    <x v="28"/>
    <s v="David"/>
    <x v="1"/>
    <x v="242"/>
    <n v="47"/>
    <x v="0"/>
    <n v="2461.6999999999998"/>
    <n v="2529.02"/>
    <s v="Returning"/>
    <n v="0.22"/>
    <s v="Cash"/>
    <s v="Retail"/>
    <x v="13"/>
  </r>
  <r>
    <x v="90"/>
    <x v="166"/>
    <s v="David"/>
    <x v="3"/>
    <x v="243"/>
    <n v="1"/>
    <x v="1"/>
    <n v="172.59"/>
    <n v="404.69"/>
    <s v="Returning"/>
    <n v="0.28999999999999998"/>
    <s v="Bank Transfer"/>
    <s v="Online"/>
    <x v="16"/>
  </r>
  <r>
    <x v="17"/>
    <x v="163"/>
    <s v="David"/>
    <x v="3"/>
    <x v="244"/>
    <n v="1"/>
    <x v="1"/>
    <n v="1281.6500000000001"/>
    <n v="1709.71"/>
    <s v="Returning"/>
    <n v="0.14000000000000001"/>
    <s v="Credit Card"/>
    <s v="Online"/>
    <x v="16"/>
  </r>
  <r>
    <x v="11"/>
    <x v="167"/>
    <s v="Alice"/>
    <x v="1"/>
    <x v="245"/>
    <n v="42"/>
    <x v="1"/>
    <n v="2069.0500000000002"/>
    <n v="2363.9"/>
    <s v="Returning"/>
    <n v="7.0000000000000007E-2"/>
    <s v="Cash"/>
    <s v="Online"/>
    <x v="17"/>
  </r>
  <r>
    <x v="91"/>
    <x v="168"/>
    <s v="David"/>
    <x v="1"/>
    <x v="246"/>
    <n v="42"/>
    <x v="2"/>
    <n v="1434.2"/>
    <n v="1482.88"/>
    <s v="New"/>
    <n v="0.28000000000000003"/>
    <s v="Credit Card"/>
    <s v="Retail"/>
    <x v="13"/>
  </r>
  <r>
    <x v="92"/>
    <x v="96"/>
    <s v="Eve"/>
    <x v="1"/>
    <x v="247"/>
    <n v="21"/>
    <x v="0"/>
    <n v="725.03"/>
    <n v="828.94999999999902"/>
    <s v="New"/>
    <n v="0.18"/>
    <s v="Bank Transfer"/>
    <s v="Online"/>
    <x v="8"/>
  </r>
  <r>
    <x v="86"/>
    <x v="113"/>
    <s v="Bob"/>
    <x v="2"/>
    <x v="248"/>
    <n v="15"/>
    <x v="3"/>
    <n v="3653.66"/>
    <n v="3896.19"/>
    <s v="New"/>
    <n v="0.03"/>
    <s v="Credit Card"/>
    <s v="Retail"/>
    <x v="3"/>
  </r>
  <r>
    <x v="74"/>
    <x v="169"/>
    <s v="Charlie"/>
    <x v="1"/>
    <x v="249"/>
    <n v="17"/>
    <x v="3"/>
    <n v="4075.08"/>
    <n v="4262.21"/>
    <s v="New"/>
    <n v="0.17"/>
    <s v="Cash"/>
    <s v="Online"/>
    <x v="5"/>
  </r>
  <r>
    <x v="67"/>
    <x v="170"/>
    <s v="Eve"/>
    <x v="0"/>
    <x v="250"/>
    <n v="22"/>
    <x v="3"/>
    <n v="1324.52"/>
    <n v="1510.3"/>
    <s v="Returning"/>
    <n v="0.15"/>
    <s v="Cash"/>
    <s v="Retail"/>
    <x v="7"/>
  </r>
  <r>
    <x v="93"/>
    <x v="59"/>
    <s v="Eve"/>
    <x v="3"/>
    <x v="251"/>
    <n v="38"/>
    <x v="3"/>
    <n v="3883.38"/>
    <n v="4152.72"/>
    <s v="Returning"/>
    <n v="0.26"/>
    <s v="Cash"/>
    <s v="Online"/>
    <x v="14"/>
  </r>
  <r>
    <x v="85"/>
    <x v="37"/>
    <s v="David"/>
    <x v="2"/>
    <x v="252"/>
    <n v="35"/>
    <x v="1"/>
    <n v="1958.49"/>
    <n v="2254.84"/>
    <s v="New"/>
    <n v="0.16"/>
    <s v="Credit Card"/>
    <s v="Online"/>
    <x v="2"/>
  </r>
  <r>
    <x v="35"/>
    <x v="129"/>
    <s v="Alice"/>
    <x v="1"/>
    <x v="253"/>
    <n v="45"/>
    <x v="0"/>
    <n v="2558.09"/>
    <n v="2958.55"/>
    <s v="New"/>
    <n v="0.08"/>
    <s v="Cash"/>
    <s v="Online"/>
    <x v="17"/>
  </r>
  <r>
    <x v="26"/>
    <x v="150"/>
    <s v="Bob"/>
    <x v="2"/>
    <x v="254"/>
    <n v="16"/>
    <x v="0"/>
    <n v="4287.21"/>
    <n v="4464.28"/>
    <s v="Returning"/>
    <n v="0.2"/>
    <s v="Credit Card"/>
    <s v="Retail"/>
    <x v="3"/>
  </r>
  <r>
    <x v="86"/>
    <x v="171"/>
    <s v="Alice"/>
    <x v="1"/>
    <x v="255"/>
    <n v="8"/>
    <x v="2"/>
    <n v="3762.27"/>
    <n v="4166.95"/>
    <s v="Returning"/>
    <n v="0.16"/>
    <s v="Bank Transfer"/>
    <s v="Online"/>
    <x v="17"/>
  </r>
  <r>
    <x v="29"/>
    <x v="172"/>
    <s v="Bob"/>
    <x v="2"/>
    <x v="256"/>
    <n v="47"/>
    <x v="0"/>
    <n v="4035.33"/>
    <n v="4211.25"/>
    <s v="Returning"/>
    <n v="7.0000000000000007E-2"/>
    <s v="Bank Transfer"/>
    <s v="Online"/>
    <x v="3"/>
  </r>
  <r>
    <x v="1"/>
    <x v="173"/>
    <s v="Bob"/>
    <x v="3"/>
    <x v="257"/>
    <n v="17"/>
    <x v="0"/>
    <n v="727.38"/>
    <n v="764.54"/>
    <s v="Returning"/>
    <n v="0.17"/>
    <s v="Credit Card"/>
    <s v="Retail"/>
    <x v="12"/>
  </r>
  <r>
    <x v="12"/>
    <x v="174"/>
    <s v="Alice"/>
    <x v="3"/>
    <x v="258"/>
    <n v="17"/>
    <x v="0"/>
    <n v="395.11"/>
    <n v="676.66"/>
    <s v="Returning"/>
    <n v="0.25"/>
    <s v="Cash"/>
    <s v="Retail"/>
    <x v="18"/>
  </r>
  <r>
    <x v="94"/>
    <x v="175"/>
    <s v="Eve"/>
    <x v="0"/>
    <x v="259"/>
    <n v="26"/>
    <x v="2"/>
    <n v="4472.3500000000004"/>
    <n v="4770.42"/>
    <s v="New"/>
    <n v="0.01"/>
    <s v="Credit Card"/>
    <s v="Retail"/>
    <x v="7"/>
  </r>
  <r>
    <x v="26"/>
    <x v="109"/>
    <s v="Bob"/>
    <x v="0"/>
    <x v="260"/>
    <n v="13"/>
    <x v="3"/>
    <n v="1969.78"/>
    <n v="2437.6999999999998"/>
    <s v="New"/>
    <n v="0.19"/>
    <s v="Credit Card"/>
    <s v="Retail"/>
    <x v="0"/>
  </r>
  <r>
    <x v="49"/>
    <x v="162"/>
    <s v="Alice"/>
    <x v="1"/>
    <x v="261"/>
    <n v="17"/>
    <x v="0"/>
    <n v="1475"/>
    <n v="1840.77"/>
    <s v="Returning"/>
    <n v="0.1"/>
    <s v="Credit Card"/>
    <s v="Online"/>
    <x v="17"/>
  </r>
  <r>
    <x v="88"/>
    <x v="26"/>
    <s v="Bob"/>
    <x v="3"/>
    <x v="262"/>
    <n v="38"/>
    <x v="2"/>
    <n v="3637.25"/>
    <n v="4096.96"/>
    <s v="Returning"/>
    <n v="0.09"/>
    <s v="Bank Transfer"/>
    <s v="Online"/>
    <x v="12"/>
  </r>
  <r>
    <x v="41"/>
    <x v="170"/>
    <s v="Charlie"/>
    <x v="2"/>
    <x v="263"/>
    <n v="17"/>
    <x v="2"/>
    <n v="4190.26"/>
    <n v="4645.3500000000004"/>
    <s v="New"/>
    <n v="0.12"/>
    <s v="Credit Card"/>
    <s v="Retail"/>
    <x v="10"/>
  </r>
  <r>
    <x v="95"/>
    <x v="8"/>
    <s v="Eve"/>
    <x v="2"/>
    <x v="264"/>
    <n v="48"/>
    <x v="1"/>
    <n v="4319.32"/>
    <n v="4625.5599999999904"/>
    <s v="Returning"/>
    <n v="0.1"/>
    <s v="Bank Transfer"/>
    <s v="Online"/>
    <x v="6"/>
  </r>
  <r>
    <x v="88"/>
    <x v="18"/>
    <s v="David"/>
    <x v="2"/>
    <x v="265"/>
    <n v="14"/>
    <x v="2"/>
    <n v="1614.19"/>
    <n v="1882.79"/>
    <s v="New"/>
    <n v="0.25"/>
    <s v="Credit Card"/>
    <s v="Retail"/>
    <x v="2"/>
  </r>
  <r>
    <x v="94"/>
    <x v="176"/>
    <s v="Bob"/>
    <x v="0"/>
    <x v="266"/>
    <n v="45"/>
    <x v="3"/>
    <n v="4268.45"/>
    <n v="4551.5999999999904"/>
    <s v="New"/>
    <n v="0.08"/>
    <s v="Bank Transfer"/>
    <s v="Online"/>
    <x v="0"/>
  </r>
  <r>
    <x v="78"/>
    <x v="67"/>
    <s v="Charlie"/>
    <x v="2"/>
    <x v="267"/>
    <n v="6"/>
    <x v="0"/>
    <n v="252.62"/>
    <n v="742"/>
    <s v="New"/>
    <n v="0.22"/>
    <s v="Credit Card"/>
    <s v="Retail"/>
    <x v="10"/>
  </r>
  <r>
    <x v="43"/>
    <x v="177"/>
    <s v="David"/>
    <x v="0"/>
    <x v="268"/>
    <n v="35"/>
    <x v="2"/>
    <n v="295.82"/>
    <n v="684.67"/>
    <s v="New"/>
    <n v="0.03"/>
    <s v="Credit Card"/>
    <s v="Online"/>
    <x v="11"/>
  </r>
  <r>
    <x v="0"/>
    <x v="178"/>
    <s v="David"/>
    <x v="0"/>
    <x v="269"/>
    <n v="46"/>
    <x v="3"/>
    <n v="3136.42"/>
    <n v="3198.49"/>
    <s v="Returning"/>
    <n v="0.28999999999999998"/>
    <s v="Cash"/>
    <s v="Retail"/>
    <x v="11"/>
  </r>
  <r>
    <x v="20"/>
    <x v="113"/>
    <s v="Bob"/>
    <x v="1"/>
    <x v="270"/>
    <n v="14"/>
    <x v="2"/>
    <n v="362.38"/>
    <n v="753.81"/>
    <s v="Returning"/>
    <n v="0.19"/>
    <s v="Cash"/>
    <s v="Retail"/>
    <x v="1"/>
  </r>
  <r>
    <x v="58"/>
    <x v="16"/>
    <s v="Alice"/>
    <x v="2"/>
    <x v="271"/>
    <n v="47"/>
    <x v="2"/>
    <n v="1656.82"/>
    <n v="1750.3799999999901"/>
    <s v="New"/>
    <n v="0.21"/>
    <s v="Credit Card"/>
    <s v="Online"/>
    <x v="9"/>
  </r>
  <r>
    <x v="36"/>
    <x v="168"/>
    <s v="Bob"/>
    <x v="2"/>
    <x v="272"/>
    <n v="8"/>
    <x v="2"/>
    <n v="3380.14"/>
    <n v="3609.3399999999901"/>
    <s v="Returning"/>
    <n v="0.09"/>
    <s v="Credit Card"/>
    <s v="Online"/>
    <x v="3"/>
  </r>
  <r>
    <x v="60"/>
    <x v="179"/>
    <s v="Charlie"/>
    <x v="3"/>
    <x v="273"/>
    <n v="15"/>
    <x v="2"/>
    <n v="1719.47"/>
    <n v="1832.6"/>
    <s v="Returning"/>
    <n v="0.12"/>
    <s v="Credit Card"/>
    <s v="Online"/>
    <x v="4"/>
  </r>
  <r>
    <x v="66"/>
    <x v="180"/>
    <s v="David"/>
    <x v="1"/>
    <x v="274"/>
    <n v="27"/>
    <x v="2"/>
    <n v="939.02"/>
    <n v="1286.92"/>
    <s v="Returning"/>
    <n v="7.0000000000000007E-2"/>
    <s v="Credit Card"/>
    <s v="Retail"/>
    <x v="13"/>
  </r>
  <r>
    <x v="67"/>
    <x v="181"/>
    <s v="Bob"/>
    <x v="3"/>
    <x v="275"/>
    <n v="13"/>
    <x v="3"/>
    <n v="1442.69"/>
    <n v="1882.57"/>
    <s v="Returning"/>
    <n v="0.28000000000000003"/>
    <s v="Cash"/>
    <s v="Online"/>
    <x v="12"/>
  </r>
  <r>
    <x v="28"/>
    <x v="76"/>
    <s v="Alice"/>
    <x v="1"/>
    <x v="276"/>
    <n v="49"/>
    <x v="0"/>
    <n v="2315"/>
    <n v="2467.2800000000002"/>
    <s v="New"/>
    <n v="0.15"/>
    <s v="Bank Transfer"/>
    <s v="Retail"/>
    <x v="17"/>
  </r>
  <r>
    <x v="84"/>
    <x v="92"/>
    <s v="Bob"/>
    <x v="2"/>
    <x v="277"/>
    <n v="31"/>
    <x v="0"/>
    <n v="2403.16"/>
    <n v="2453.35"/>
    <s v="Returning"/>
    <n v="0.19"/>
    <s v="Credit Card"/>
    <s v="Online"/>
    <x v="3"/>
  </r>
  <r>
    <x v="23"/>
    <x v="177"/>
    <s v="Eve"/>
    <x v="0"/>
    <x v="278"/>
    <n v="35"/>
    <x v="0"/>
    <n v="3925.85"/>
    <n v="4082.1099999999901"/>
    <s v="New"/>
    <n v="0.22"/>
    <s v="Cash"/>
    <s v="Online"/>
    <x v="7"/>
  </r>
  <r>
    <x v="50"/>
    <x v="141"/>
    <s v="Alice"/>
    <x v="0"/>
    <x v="279"/>
    <n v="6"/>
    <x v="0"/>
    <n v="3763.26"/>
    <n v="4102.72"/>
    <s v="New"/>
    <n v="0.11"/>
    <s v="Credit Card"/>
    <s v="Retail"/>
    <x v="15"/>
  </r>
  <r>
    <x v="71"/>
    <x v="40"/>
    <s v="Charlie"/>
    <x v="0"/>
    <x v="280"/>
    <n v="5"/>
    <x v="3"/>
    <n v="2311.25"/>
    <n v="2482.34"/>
    <s v="Returning"/>
    <n v="0.22"/>
    <s v="Credit Card"/>
    <s v="Retail"/>
    <x v="19"/>
  </r>
  <r>
    <x v="96"/>
    <x v="182"/>
    <s v="David"/>
    <x v="0"/>
    <x v="281"/>
    <n v="22"/>
    <x v="1"/>
    <n v="4236.05"/>
    <n v="4382.32"/>
    <s v="New"/>
    <n v="0.2"/>
    <s v="Bank Transfer"/>
    <s v="Online"/>
    <x v="11"/>
  </r>
  <r>
    <x v="79"/>
    <x v="113"/>
    <s v="Bob"/>
    <x v="0"/>
    <x v="282"/>
    <n v="49"/>
    <x v="1"/>
    <n v="615.47"/>
    <n v="715.84"/>
    <s v="Returning"/>
    <n v="0.21"/>
    <s v="Credit Card"/>
    <s v="Retail"/>
    <x v="0"/>
  </r>
  <r>
    <x v="27"/>
    <x v="183"/>
    <s v="Alice"/>
    <x v="3"/>
    <x v="283"/>
    <n v="23"/>
    <x v="3"/>
    <n v="1314"/>
    <n v="1567.78"/>
    <s v="Returning"/>
    <n v="0.15"/>
    <s v="Credit Card"/>
    <s v="Retail"/>
    <x v="18"/>
  </r>
  <r>
    <x v="73"/>
    <x v="143"/>
    <s v="Eve"/>
    <x v="1"/>
    <x v="284"/>
    <n v="25"/>
    <x v="3"/>
    <n v="4148.4799999999996"/>
    <n v="4293.6899999999996"/>
    <s v="New"/>
    <n v="0.11"/>
    <s v="Bank Transfer"/>
    <s v="Online"/>
    <x v="8"/>
  </r>
  <r>
    <x v="34"/>
    <x v="180"/>
    <s v="Alice"/>
    <x v="2"/>
    <x v="285"/>
    <n v="34"/>
    <x v="2"/>
    <n v="1921.07"/>
    <n v="2289.27"/>
    <s v="Returning"/>
    <n v="7.0000000000000007E-2"/>
    <s v="Bank Transfer"/>
    <s v="Retail"/>
    <x v="9"/>
  </r>
  <r>
    <x v="93"/>
    <x v="184"/>
    <s v="Eve"/>
    <x v="3"/>
    <x v="286"/>
    <n v="26"/>
    <x v="2"/>
    <n v="4906.8500000000004"/>
    <n v="4954.3900000000003"/>
    <s v="New"/>
    <n v="0.25"/>
    <s v="Bank Transfer"/>
    <s v="Online"/>
    <x v="14"/>
  </r>
  <r>
    <x v="41"/>
    <x v="160"/>
    <s v="Charlie"/>
    <x v="1"/>
    <x v="287"/>
    <n v="47"/>
    <x v="2"/>
    <n v="2357.9499999999998"/>
    <n v="2693.33"/>
    <s v="New"/>
    <n v="0.18"/>
    <s v="Bank Transfer"/>
    <s v="Online"/>
    <x v="5"/>
  </r>
  <r>
    <x v="19"/>
    <x v="185"/>
    <s v="David"/>
    <x v="0"/>
    <x v="288"/>
    <n v="5"/>
    <x v="0"/>
    <n v="3970.08"/>
    <n v="4096.4799999999996"/>
    <s v="Returning"/>
    <n v="0.13"/>
    <s v="Cash"/>
    <s v="Retail"/>
    <x v="11"/>
  </r>
  <r>
    <x v="15"/>
    <x v="149"/>
    <s v="Charlie"/>
    <x v="1"/>
    <x v="289"/>
    <n v="26"/>
    <x v="2"/>
    <n v="2041.42"/>
    <n v="2291.17"/>
    <s v="Returning"/>
    <n v="0.28000000000000003"/>
    <s v="Cash"/>
    <s v="Online"/>
    <x v="5"/>
  </r>
  <r>
    <x v="66"/>
    <x v="186"/>
    <s v="Bob"/>
    <x v="1"/>
    <x v="290"/>
    <n v="20"/>
    <x v="1"/>
    <n v="2153.52"/>
    <n v="2303.6999999999998"/>
    <s v="Returning"/>
    <n v="0.01"/>
    <s v="Cash"/>
    <s v="Retail"/>
    <x v="1"/>
  </r>
  <r>
    <x v="57"/>
    <x v="187"/>
    <s v="Alice"/>
    <x v="0"/>
    <x v="291"/>
    <n v="6"/>
    <x v="0"/>
    <n v="1945.27"/>
    <n v="2309.4299999999998"/>
    <s v="New"/>
    <n v="0.26"/>
    <s v="Credit Card"/>
    <s v="Online"/>
    <x v="15"/>
  </r>
  <r>
    <x v="70"/>
    <x v="24"/>
    <s v="Eve"/>
    <x v="0"/>
    <x v="292"/>
    <n v="6"/>
    <x v="2"/>
    <n v="3609.42"/>
    <n v="4082.62"/>
    <s v="Returning"/>
    <n v="0.3"/>
    <s v="Bank Transfer"/>
    <s v="Retail"/>
    <x v="7"/>
  </r>
  <r>
    <x v="91"/>
    <x v="188"/>
    <s v="Eve"/>
    <x v="0"/>
    <x v="293"/>
    <n v="18"/>
    <x v="0"/>
    <n v="2760.21"/>
    <n v="3219.58"/>
    <s v="New"/>
    <n v="0.27"/>
    <s v="Bank Transfer"/>
    <s v="Retail"/>
    <x v="7"/>
  </r>
  <r>
    <x v="72"/>
    <x v="189"/>
    <s v="Alice"/>
    <x v="2"/>
    <x v="294"/>
    <n v="4"/>
    <x v="1"/>
    <n v="4721.7"/>
    <n v="5017.58"/>
    <s v="New"/>
    <n v="0.24"/>
    <s v="Cash"/>
    <s v="Retail"/>
    <x v="9"/>
  </r>
  <r>
    <x v="82"/>
    <x v="178"/>
    <s v="Alice"/>
    <x v="0"/>
    <x v="295"/>
    <n v="17"/>
    <x v="2"/>
    <n v="1291.9100000000001"/>
    <n v="1528.59"/>
    <s v="Returning"/>
    <n v="0.11"/>
    <s v="Credit Card"/>
    <s v="Retail"/>
    <x v="15"/>
  </r>
  <r>
    <x v="40"/>
    <x v="82"/>
    <s v="Bob"/>
    <x v="2"/>
    <x v="296"/>
    <n v="14"/>
    <x v="1"/>
    <n v="547.79"/>
    <n v="958.76"/>
    <s v="Returning"/>
    <n v="7.0000000000000007E-2"/>
    <s v="Credit Card"/>
    <s v="Retail"/>
    <x v="3"/>
  </r>
  <r>
    <x v="73"/>
    <x v="95"/>
    <s v="Charlie"/>
    <x v="0"/>
    <x v="297"/>
    <n v="14"/>
    <x v="1"/>
    <n v="1996.64"/>
    <n v="2341.4699999999998"/>
    <s v="Returning"/>
    <n v="0.22"/>
    <s v="Credit Card"/>
    <s v="Online"/>
    <x v="19"/>
  </r>
  <r>
    <x v="88"/>
    <x v="190"/>
    <s v="Eve"/>
    <x v="2"/>
    <x v="298"/>
    <n v="13"/>
    <x v="1"/>
    <n v="3102.73"/>
    <n v="3202.68"/>
    <s v="New"/>
    <n v="0.09"/>
    <s v="Cash"/>
    <s v="Online"/>
    <x v="6"/>
  </r>
  <r>
    <x v="57"/>
    <x v="191"/>
    <s v="Bob"/>
    <x v="1"/>
    <x v="299"/>
    <n v="7"/>
    <x v="2"/>
    <n v="4310.95"/>
    <n v="4723.2"/>
    <s v="Returning"/>
    <n v="0.05"/>
    <s v="Credit Card"/>
    <s v="Retail"/>
    <x v="1"/>
  </r>
  <r>
    <x v="29"/>
    <x v="192"/>
    <s v="Charlie"/>
    <x v="3"/>
    <x v="300"/>
    <n v="44"/>
    <x v="3"/>
    <n v="1763.67"/>
    <n v="1983.82"/>
    <s v="New"/>
    <n v="0.24"/>
    <s v="Credit Card"/>
    <s v="Online"/>
    <x v="4"/>
  </r>
  <r>
    <x v="12"/>
    <x v="160"/>
    <s v="Bob"/>
    <x v="1"/>
    <x v="301"/>
    <n v="15"/>
    <x v="2"/>
    <n v="3286.24"/>
    <n v="3388.8399999999901"/>
    <s v="Returning"/>
    <n v="0.09"/>
    <s v="Credit Card"/>
    <s v="Retail"/>
    <x v="1"/>
  </r>
  <r>
    <x v="94"/>
    <x v="101"/>
    <s v="Eve"/>
    <x v="1"/>
    <x v="302"/>
    <n v="19"/>
    <x v="1"/>
    <n v="1783.48"/>
    <n v="1931.56"/>
    <s v="Returning"/>
    <n v="0.27"/>
    <s v="Bank Transfer"/>
    <s v="Retail"/>
    <x v="8"/>
  </r>
  <r>
    <x v="11"/>
    <x v="193"/>
    <s v="Alice"/>
    <x v="0"/>
    <x v="303"/>
    <n v="43"/>
    <x v="2"/>
    <n v="3105.24"/>
    <n v="3246.33"/>
    <s v="New"/>
    <n v="0.25"/>
    <s v="Cash"/>
    <s v="Online"/>
    <x v="15"/>
  </r>
  <r>
    <x v="52"/>
    <x v="43"/>
    <s v="Alice"/>
    <x v="2"/>
    <x v="304"/>
    <n v="47"/>
    <x v="1"/>
    <n v="4429.8"/>
    <n v="4694.21"/>
    <s v="New"/>
    <n v="0.25"/>
    <s v="Bank Transfer"/>
    <s v="Online"/>
    <x v="9"/>
  </r>
  <r>
    <x v="20"/>
    <x v="55"/>
    <s v="Charlie"/>
    <x v="3"/>
    <x v="305"/>
    <n v="44"/>
    <x v="3"/>
    <n v="1195.22"/>
    <n v="1320.06"/>
    <s v="Returning"/>
    <n v="0.23"/>
    <s v="Bank Transfer"/>
    <s v="Retail"/>
    <x v="4"/>
  </r>
  <r>
    <x v="11"/>
    <x v="194"/>
    <s v="David"/>
    <x v="0"/>
    <x v="306"/>
    <n v="35"/>
    <x v="0"/>
    <n v="2051"/>
    <n v="2121.5500000000002"/>
    <s v="Returning"/>
    <n v="0.26"/>
    <s v="Cash"/>
    <s v="Retail"/>
    <x v="11"/>
  </r>
  <r>
    <x v="8"/>
    <x v="195"/>
    <s v="Charlie"/>
    <x v="0"/>
    <x v="307"/>
    <n v="17"/>
    <x v="3"/>
    <n v="4966.66"/>
    <n v="5037.2699999999904"/>
    <s v="Returning"/>
    <n v="0.24"/>
    <s v="Bank Transfer"/>
    <s v="Retail"/>
    <x v="19"/>
  </r>
  <r>
    <x v="3"/>
    <x v="196"/>
    <s v="David"/>
    <x v="0"/>
    <x v="308"/>
    <n v="35"/>
    <x v="3"/>
    <n v="4349.3599999999997"/>
    <n v="4645.17"/>
    <s v="Returning"/>
    <n v="0.18"/>
    <s v="Credit Card"/>
    <s v="Retail"/>
    <x v="11"/>
  </r>
  <r>
    <x v="49"/>
    <x v="78"/>
    <s v="Bob"/>
    <x v="1"/>
    <x v="309"/>
    <n v="19"/>
    <x v="0"/>
    <n v="2844.97"/>
    <n v="3215"/>
    <s v="Returning"/>
    <n v="0.09"/>
    <s v="Credit Card"/>
    <s v="Retail"/>
    <x v="1"/>
  </r>
  <r>
    <x v="17"/>
    <x v="102"/>
    <s v="Bob"/>
    <x v="2"/>
    <x v="310"/>
    <n v="20"/>
    <x v="2"/>
    <n v="2607.31"/>
    <n v="2774.86"/>
    <s v="New"/>
    <n v="0.27"/>
    <s v="Credit Card"/>
    <s v="Retail"/>
    <x v="3"/>
  </r>
  <r>
    <x v="42"/>
    <x v="2"/>
    <s v="Eve"/>
    <x v="2"/>
    <x v="311"/>
    <n v="36"/>
    <x v="0"/>
    <n v="1458.77"/>
    <n v="1485.75"/>
    <s v="New"/>
    <n v="0.25"/>
    <s v="Credit Card"/>
    <s v="Online"/>
    <x v="6"/>
  </r>
  <r>
    <x v="73"/>
    <x v="164"/>
    <s v="David"/>
    <x v="3"/>
    <x v="312"/>
    <n v="35"/>
    <x v="2"/>
    <n v="2610.19"/>
    <n v="2682.53"/>
    <s v="New"/>
    <n v="0.14000000000000001"/>
    <s v="Cash"/>
    <s v="Retail"/>
    <x v="16"/>
  </r>
  <r>
    <x v="23"/>
    <x v="197"/>
    <s v="Eve"/>
    <x v="2"/>
    <x v="313"/>
    <n v="32"/>
    <x v="2"/>
    <n v="4248.5"/>
    <n v="4706.7"/>
    <s v="New"/>
    <n v="0.01"/>
    <s v="Bank Transfer"/>
    <s v="Retail"/>
    <x v="6"/>
  </r>
  <r>
    <x v="73"/>
    <x v="198"/>
    <s v="Alice"/>
    <x v="2"/>
    <x v="314"/>
    <n v="48"/>
    <x v="1"/>
    <n v="3441.61"/>
    <n v="3693.45"/>
    <s v="Returning"/>
    <n v="0.19"/>
    <s v="Bank Transfer"/>
    <s v="Online"/>
    <x v="9"/>
  </r>
  <r>
    <x v="97"/>
    <x v="108"/>
    <s v="David"/>
    <x v="0"/>
    <x v="315"/>
    <n v="44"/>
    <x v="1"/>
    <n v="1485.72"/>
    <n v="1717.97"/>
    <s v="New"/>
    <n v="0.02"/>
    <s v="Credit Card"/>
    <s v="Retail"/>
    <x v="11"/>
  </r>
  <r>
    <x v="1"/>
    <x v="199"/>
    <s v="Charlie"/>
    <x v="0"/>
    <x v="316"/>
    <n v="40"/>
    <x v="0"/>
    <n v="1047.25"/>
    <n v="1075.8900000000001"/>
    <s v="New"/>
    <n v="0.28000000000000003"/>
    <s v="Credit Card"/>
    <s v="Retail"/>
    <x v="19"/>
  </r>
  <r>
    <x v="37"/>
    <x v="200"/>
    <s v="Alice"/>
    <x v="1"/>
    <x v="317"/>
    <n v="24"/>
    <x v="3"/>
    <n v="1362.78"/>
    <n v="1729.81"/>
    <s v="New"/>
    <n v="0.28999999999999998"/>
    <s v="Bank Transfer"/>
    <s v="Online"/>
    <x v="17"/>
  </r>
  <r>
    <x v="60"/>
    <x v="201"/>
    <s v="Alice"/>
    <x v="0"/>
    <x v="318"/>
    <n v="17"/>
    <x v="0"/>
    <n v="890.31"/>
    <n v="1159.06"/>
    <s v="Returning"/>
    <n v="0.06"/>
    <s v="Cash"/>
    <s v="Retail"/>
    <x v="15"/>
  </r>
  <r>
    <x v="83"/>
    <x v="202"/>
    <s v="Charlie"/>
    <x v="0"/>
    <x v="319"/>
    <n v="7"/>
    <x v="2"/>
    <n v="523.41999999999996"/>
    <n v="632.43999999999903"/>
    <s v="New"/>
    <n v="0.2"/>
    <s v="Bank Transfer"/>
    <s v="Online"/>
    <x v="19"/>
  </r>
  <r>
    <x v="52"/>
    <x v="164"/>
    <s v="Alice"/>
    <x v="0"/>
    <x v="320"/>
    <n v="43"/>
    <x v="1"/>
    <n v="2124.7199999999998"/>
    <n v="2188.66"/>
    <s v="Returning"/>
    <n v="0.03"/>
    <s v="Credit Card"/>
    <s v="Retail"/>
    <x v="15"/>
  </r>
  <r>
    <x v="46"/>
    <x v="108"/>
    <s v="David"/>
    <x v="0"/>
    <x v="321"/>
    <n v="1"/>
    <x v="0"/>
    <n v="610.83000000000004"/>
    <n v="808.69"/>
    <s v="New"/>
    <n v="0.22"/>
    <s v="Credit Card"/>
    <s v="Online"/>
    <x v="11"/>
  </r>
  <r>
    <x v="29"/>
    <x v="68"/>
    <s v="Eve"/>
    <x v="1"/>
    <x v="322"/>
    <n v="35"/>
    <x v="0"/>
    <n v="900.97"/>
    <n v="1321.18"/>
    <s v="Returning"/>
    <n v="0.1"/>
    <s v="Cash"/>
    <s v="Online"/>
    <x v="8"/>
  </r>
  <r>
    <x v="4"/>
    <x v="89"/>
    <s v="Alice"/>
    <x v="0"/>
    <x v="323"/>
    <n v="32"/>
    <x v="1"/>
    <n v="2759.26"/>
    <n v="3193.25"/>
    <s v="New"/>
    <n v="0.2"/>
    <s v="Bank Transfer"/>
    <s v="Online"/>
    <x v="15"/>
  </r>
  <r>
    <x v="62"/>
    <x v="203"/>
    <s v="David"/>
    <x v="3"/>
    <x v="324"/>
    <n v="36"/>
    <x v="1"/>
    <n v="864.77"/>
    <n v="1170.1599999999901"/>
    <s v="Returning"/>
    <n v="0.11"/>
    <s v="Cash"/>
    <s v="Retail"/>
    <x v="16"/>
  </r>
  <r>
    <x v="10"/>
    <x v="77"/>
    <s v="Bob"/>
    <x v="3"/>
    <x v="325"/>
    <n v="13"/>
    <x v="1"/>
    <n v="366.2"/>
    <n v="732.69"/>
    <s v="New"/>
    <n v="0.04"/>
    <s v="Cash"/>
    <s v="Retail"/>
    <x v="12"/>
  </r>
  <r>
    <x v="20"/>
    <x v="163"/>
    <s v="David"/>
    <x v="3"/>
    <x v="326"/>
    <n v="6"/>
    <x v="2"/>
    <n v="1621.07"/>
    <n v="1687.5"/>
    <s v="Returning"/>
    <n v="0.12"/>
    <s v="Credit Card"/>
    <s v="Online"/>
    <x v="16"/>
  </r>
  <r>
    <x v="89"/>
    <x v="29"/>
    <s v="Eve"/>
    <x v="3"/>
    <x v="327"/>
    <n v="14"/>
    <x v="1"/>
    <n v="1140.58"/>
    <n v="1438.76"/>
    <s v="Returning"/>
    <n v="0.03"/>
    <s v="Bank Transfer"/>
    <s v="Online"/>
    <x v="14"/>
  </r>
  <r>
    <x v="20"/>
    <x v="204"/>
    <s v="David"/>
    <x v="0"/>
    <x v="328"/>
    <n v="37"/>
    <x v="3"/>
    <n v="2600.7600000000002"/>
    <n v="2937.57"/>
    <s v="New"/>
    <n v="0.17"/>
    <s v="Credit Card"/>
    <s v="Retail"/>
    <x v="11"/>
  </r>
  <r>
    <x v="39"/>
    <x v="205"/>
    <s v="Charlie"/>
    <x v="3"/>
    <x v="329"/>
    <n v="48"/>
    <x v="0"/>
    <n v="556.72"/>
    <n v="665.07"/>
    <s v="Returning"/>
    <n v="0.01"/>
    <s v="Bank Transfer"/>
    <s v="Retail"/>
    <x v="4"/>
  </r>
  <r>
    <x v="5"/>
    <x v="90"/>
    <s v="Eve"/>
    <x v="0"/>
    <x v="330"/>
    <n v="15"/>
    <x v="1"/>
    <n v="3771.27"/>
    <n v="4212.55"/>
    <s v="Returning"/>
    <n v="0.16"/>
    <s v="Credit Card"/>
    <s v="Retail"/>
    <x v="7"/>
  </r>
  <r>
    <x v="57"/>
    <x v="206"/>
    <s v="Bob"/>
    <x v="1"/>
    <x v="331"/>
    <n v="47"/>
    <x v="1"/>
    <n v="4535.8599999999997"/>
    <n v="4641.41"/>
    <s v="New"/>
    <n v="0.27"/>
    <s v="Credit Card"/>
    <s v="Retail"/>
    <x v="1"/>
  </r>
  <r>
    <x v="94"/>
    <x v="207"/>
    <s v="Charlie"/>
    <x v="3"/>
    <x v="332"/>
    <n v="4"/>
    <x v="2"/>
    <n v="3730"/>
    <n v="3893.6"/>
    <s v="New"/>
    <n v="0.25"/>
    <s v="Bank Transfer"/>
    <s v="Retail"/>
    <x v="4"/>
  </r>
  <r>
    <x v="45"/>
    <x v="208"/>
    <s v="David"/>
    <x v="2"/>
    <x v="333"/>
    <n v="40"/>
    <x v="2"/>
    <n v="2687.49"/>
    <n v="3001.56"/>
    <s v="Returning"/>
    <n v="0.26"/>
    <s v="Bank Transfer"/>
    <s v="Online"/>
    <x v="2"/>
  </r>
  <r>
    <x v="34"/>
    <x v="14"/>
    <s v="Eve"/>
    <x v="3"/>
    <x v="334"/>
    <n v="16"/>
    <x v="0"/>
    <n v="4310.3100000000004"/>
    <n v="4633.1000000000004"/>
    <s v="New"/>
    <n v="0.28000000000000003"/>
    <s v="Credit Card"/>
    <s v="Retail"/>
    <x v="14"/>
  </r>
  <r>
    <x v="95"/>
    <x v="119"/>
    <s v="Bob"/>
    <x v="3"/>
    <x v="335"/>
    <n v="28"/>
    <x v="3"/>
    <n v="3489.85"/>
    <n v="3842.5499999999902"/>
    <s v="New"/>
    <n v="0.03"/>
    <s v="Bank Transfer"/>
    <s v="Online"/>
    <x v="12"/>
  </r>
  <r>
    <x v="90"/>
    <x v="156"/>
    <s v="Charlie"/>
    <x v="0"/>
    <x v="336"/>
    <n v="16"/>
    <x v="0"/>
    <n v="102.23"/>
    <n v="167.12"/>
    <s v="New"/>
    <n v="0.04"/>
    <s v="Credit Card"/>
    <s v="Retail"/>
    <x v="19"/>
  </r>
  <r>
    <x v="20"/>
    <x v="123"/>
    <s v="Bob"/>
    <x v="3"/>
    <x v="337"/>
    <n v="4"/>
    <x v="1"/>
    <n v="2000.75"/>
    <n v="2426.9899999999998"/>
    <s v="Returning"/>
    <n v="0.17"/>
    <s v="Bank Transfer"/>
    <s v="Online"/>
    <x v="12"/>
  </r>
  <r>
    <x v="57"/>
    <x v="154"/>
    <s v="David"/>
    <x v="2"/>
    <x v="338"/>
    <n v="45"/>
    <x v="3"/>
    <n v="4262.21"/>
    <n v="4533.3100000000004"/>
    <s v="Returning"/>
    <n v="0.27"/>
    <s v="Credit Card"/>
    <s v="Online"/>
    <x v="2"/>
  </r>
  <r>
    <x v="21"/>
    <x v="2"/>
    <s v="Bob"/>
    <x v="0"/>
    <x v="339"/>
    <n v="26"/>
    <x v="3"/>
    <n v="1762"/>
    <n v="2002.95"/>
    <s v="Returning"/>
    <n v="0.28999999999999998"/>
    <s v="Credit Card"/>
    <s v="Retail"/>
    <x v="0"/>
  </r>
  <r>
    <x v="26"/>
    <x v="96"/>
    <s v="Alice"/>
    <x v="0"/>
    <x v="340"/>
    <n v="28"/>
    <x v="3"/>
    <n v="224.32"/>
    <n v="715.06"/>
    <s v="Returning"/>
    <n v="0.01"/>
    <s v="Credit Card"/>
    <s v="Online"/>
    <x v="15"/>
  </r>
  <r>
    <x v="74"/>
    <x v="209"/>
    <s v="Charlie"/>
    <x v="1"/>
    <x v="341"/>
    <n v="32"/>
    <x v="3"/>
    <n v="3743.59"/>
    <n v="4116.38"/>
    <s v="Returning"/>
    <n v="0.11"/>
    <s v="Cash"/>
    <s v="Online"/>
    <x v="5"/>
  </r>
  <r>
    <x v="13"/>
    <x v="210"/>
    <s v="Bob"/>
    <x v="1"/>
    <x v="342"/>
    <n v="45"/>
    <x v="0"/>
    <n v="4020.09"/>
    <n v="4087.91"/>
    <s v="Returning"/>
    <n v="0.06"/>
    <s v="Bank Transfer"/>
    <s v="Online"/>
    <x v="1"/>
  </r>
  <r>
    <x v="16"/>
    <x v="101"/>
    <s v="David"/>
    <x v="3"/>
    <x v="343"/>
    <n v="2"/>
    <x v="2"/>
    <n v="844.94"/>
    <n v="1225.6400000000001"/>
    <s v="Returning"/>
    <n v="0.23"/>
    <s v="Credit Card"/>
    <s v="Online"/>
    <x v="16"/>
  </r>
  <r>
    <x v="17"/>
    <x v="108"/>
    <s v="David"/>
    <x v="1"/>
    <x v="344"/>
    <n v="31"/>
    <x v="2"/>
    <n v="2709.84"/>
    <n v="2766.51"/>
    <s v="New"/>
    <n v="0.19"/>
    <s v="Cash"/>
    <s v="Retail"/>
    <x v="13"/>
  </r>
  <r>
    <x v="32"/>
    <x v="211"/>
    <s v="Bob"/>
    <x v="1"/>
    <x v="345"/>
    <n v="3"/>
    <x v="1"/>
    <n v="1000.18"/>
    <n v="1023.64"/>
    <s v="Returning"/>
    <n v="0.04"/>
    <s v="Credit Card"/>
    <s v="Online"/>
    <x v="1"/>
  </r>
  <r>
    <x v="52"/>
    <x v="146"/>
    <s v="David"/>
    <x v="1"/>
    <x v="346"/>
    <n v="8"/>
    <x v="2"/>
    <n v="3610.21"/>
    <n v="3817.99"/>
    <s v="Returning"/>
    <n v="0.15"/>
    <s v="Cash"/>
    <s v="Retail"/>
    <x v="13"/>
  </r>
  <r>
    <x v="45"/>
    <x v="98"/>
    <s v="Eve"/>
    <x v="0"/>
    <x v="347"/>
    <n v="24"/>
    <x v="2"/>
    <n v="1394.17"/>
    <n v="1891.02"/>
    <s v="New"/>
    <n v="0.21"/>
    <s v="Credit Card"/>
    <s v="Online"/>
    <x v="7"/>
  </r>
  <r>
    <x v="75"/>
    <x v="162"/>
    <s v="Eve"/>
    <x v="0"/>
    <x v="348"/>
    <n v="15"/>
    <x v="2"/>
    <n v="1615.26"/>
    <n v="1710.95"/>
    <s v="New"/>
    <n v="0.23"/>
    <s v="Credit Card"/>
    <s v="Retail"/>
    <x v="7"/>
  </r>
  <r>
    <x v="75"/>
    <x v="34"/>
    <s v="Eve"/>
    <x v="0"/>
    <x v="349"/>
    <n v="43"/>
    <x v="2"/>
    <n v="4232.6099999999997"/>
    <n v="4572.21"/>
    <s v="New"/>
    <n v="0.01"/>
    <s v="Cash"/>
    <s v="Retail"/>
    <x v="7"/>
  </r>
  <r>
    <x v="92"/>
    <x v="27"/>
    <s v="Alice"/>
    <x v="1"/>
    <x v="350"/>
    <n v="31"/>
    <x v="1"/>
    <n v="2407.8000000000002"/>
    <n v="2502.7600000000002"/>
    <s v="Returning"/>
    <n v="0.27"/>
    <s v="Cash"/>
    <s v="Retail"/>
    <x v="17"/>
  </r>
  <r>
    <x v="5"/>
    <x v="212"/>
    <s v="Bob"/>
    <x v="0"/>
    <x v="351"/>
    <n v="9"/>
    <x v="0"/>
    <n v="3365.28"/>
    <n v="3730.43"/>
    <s v="New"/>
    <n v="0.17"/>
    <s v="Bank Transfer"/>
    <s v="Online"/>
    <x v="0"/>
  </r>
  <r>
    <x v="16"/>
    <x v="128"/>
    <s v="Alice"/>
    <x v="1"/>
    <x v="352"/>
    <n v="39"/>
    <x v="3"/>
    <n v="2041.75"/>
    <n v="2299.37"/>
    <s v="Returning"/>
    <n v="0.24"/>
    <s v="Bank Transfer"/>
    <s v="Retail"/>
    <x v="17"/>
  </r>
  <r>
    <x v="85"/>
    <x v="213"/>
    <s v="David"/>
    <x v="0"/>
    <x v="353"/>
    <n v="45"/>
    <x v="2"/>
    <n v="1525.13"/>
    <n v="1868.32"/>
    <s v="Returning"/>
    <n v="0.24"/>
    <s v="Cash"/>
    <s v="Retail"/>
    <x v="11"/>
  </r>
  <r>
    <x v="69"/>
    <x v="67"/>
    <s v="Alice"/>
    <x v="0"/>
    <x v="354"/>
    <n v="2"/>
    <x v="0"/>
    <n v="3146.12"/>
    <n v="3255.5299999999902"/>
    <s v="Returning"/>
    <n v="0.06"/>
    <s v="Bank Transfer"/>
    <s v="Online"/>
    <x v="15"/>
  </r>
  <r>
    <x v="18"/>
    <x v="214"/>
    <s v="David"/>
    <x v="2"/>
    <x v="355"/>
    <n v="8"/>
    <x v="2"/>
    <n v="816.54"/>
    <n v="1191.9000000000001"/>
    <s v="New"/>
    <n v="0.03"/>
    <s v="Cash"/>
    <s v="Retail"/>
    <x v="2"/>
  </r>
  <r>
    <x v="85"/>
    <x v="215"/>
    <s v="David"/>
    <x v="3"/>
    <x v="356"/>
    <n v="7"/>
    <x v="2"/>
    <n v="1896.35"/>
    <n v="2394.1999999999998"/>
    <s v="New"/>
    <n v="0.22"/>
    <s v="Bank Transfer"/>
    <s v="Online"/>
    <x v="16"/>
  </r>
  <r>
    <x v="91"/>
    <x v="216"/>
    <s v="Charlie"/>
    <x v="1"/>
    <x v="357"/>
    <n v="44"/>
    <x v="3"/>
    <n v="1084.73"/>
    <n v="1420.9"/>
    <s v="Returning"/>
    <n v="0.05"/>
    <s v="Credit Card"/>
    <s v="Online"/>
    <x v="5"/>
  </r>
  <r>
    <x v="4"/>
    <x v="20"/>
    <s v="Eve"/>
    <x v="2"/>
    <x v="358"/>
    <n v="39"/>
    <x v="3"/>
    <n v="3494.19"/>
    <n v="3746"/>
    <s v="Returning"/>
    <n v="0.25"/>
    <s v="Bank Transfer"/>
    <s v="Retail"/>
    <x v="6"/>
  </r>
  <r>
    <x v="57"/>
    <x v="33"/>
    <s v="David"/>
    <x v="0"/>
    <x v="359"/>
    <n v="42"/>
    <x v="3"/>
    <n v="4723.83"/>
    <n v="5186.1899999999996"/>
    <s v="Returning"/>
    <n v="0.22"/>
    <s v="Credit Card"/>
    <s v="Online"/>
    <x v="11"/>
  </r>
  <r>
    <x v="88"/>
    <x v="178"/>
    <s v="Charlie"/>
    <x v="1"/>
    <x v="360"/>
    <n v="16"/>
    <x v="2"/>
    <n v="4977.78"/>
    <n v="4995.55"/>
    <s v="New"/>
    <n v="0.25"/>
    <s v="Credit Card"/>
    <s v="Online"/>
    <x v="5"/>
  </r>
  <r>
    <x v="38"/>
    <x v="217"/>
    <s v="Eve"/>
    <x v="0"/>
    <x v="361"/>
    <n v="35"/>
    <x v="2"/>
    <n v="2278.87"/>
    <n v="2646.5299999999902"/>
    <s v="Returning"/>
    <n v="0.09"/>
    <s v="Bank Transfer"/>
    <s v="Online"/>
    <x v="7"/>
  </r>
  <r>
    <x v="46"/>
    <x v="218"/>
    <s v="David"/>
    <x v="3"/>
    <x v="362"/>
    <n v="30"/>
    <x v="2"/>
    <n v="1300.03"/>
    <n v="1745.52"/>
    <s v="New"/>
    <n v="0.09"/>
    <s v="Cash"/>
    <s v="Retail"/>
    <x v="16"/>
  </r>
  <r>
    <x v="18"/>
    <x v="219"/>
    <s v="David"/>
    <x v="2"/>
    <x v="363"/>
    <n v="10"/>
    <x v="3"/>
    <n v="2242.0100000000002"/>
    <n v="2282.23"/>
    <s v="Returning"/>
    <n v="0.2"/>
    <s v="Credit Card"/>
    <s v="Online"/>
    <x v="2"/>
  </r>
  <r>
    <x v="24"/>
    <x v="131"/>
    <s v="Alice"/>
    <x v="3"/>
    <x v="364"/>
    <n v="38"/>
    <x v="1"/>
    <n v="4243.9799999999996"/>
    <n v="4474.5099999999902"/>
    <s v="New"/>
    <n v="0.01"/>
    <s v="Credit Card"/>
    <s v="Online"/>
    <x v="18"/>
  </r>
  <r>
    <x v="90"/>
    <x v="220"/>
    <s v="Alice"/>
    <x v="2"/>
    <x v="365"/>
    <n v="18"/>
    <x v="0"/>
    <n v="1069.73"/>
    <n v="1180.04"/>
    <s v="Returning"/>
    <n v="0.22"/>
    <s v="Bank Transfer"/>
    <s v="Online"/>
    <x v="9"/>
  </r>
  <r>
    <x v="44"/>
    <x v="142"/>
    <s v="Eve"/>
    <x v="0"/>
    <x v="366"/>
    <n v="5"/>
    <x v="1"/>
    <n v="4762.87"/>
    <n v="5050.46"/>
    <s v="New"/>
    <n v="0.25"/>
    <s v="Cash"/>
    <s v="Retail"/>
    <x v="7"/>
  </r>
  <r>
    <x v="28"/>
    <x v="221"/>
    <s v="David"/>
    <x v="3"/>
    <x v="367"/>
    <n v="29"/>
    <x v="2"/>
    <n v="1742.24"/>
    <n v="2070.52"/>
    <s v="New"/>
    <n v="0.12"/>
    <s v="Cash"/>
    <s v="Online"/>
    <x v="16"/>
  </r>
  <r>
    <x v="16"/>
    <x v="222"/>
    <s v="Bob"/>
    <x v="3"/>
    <x v="368"/>
    <n v="39"/>
    <x v="2"/>
    <n v="4929.7299999999996"/>
    <n v="5088.0199999999904"/>
    <s v="New"/>
    <n v="0.23"/>
    <s v="Bank Transfer"/>
    <s v="Retail"/>
    <x v="12"/>
  </r>
  <r>
    <x v="1"/>
    <x v="223"/>
    <s v="Alice"/>
    <x v="0"/>
    <x v="369"/>
    <n v="34"/>
    <x v="1"/>
    <n v="4201.1099999999997"/>
    <n v="4436.5"/>
    <s v="New"/>
    <n v="0.05"/>
    <s v="Cash"/>
    <s v="Online"/>
    <x v="15"/>
  </r>
  <r>
    <x v="98"/>
    <x v="54"/>
    <s v="Eve"/>
    <x v="3"/>
    <x v="370"/>
    <n v="43"/>
    <x v="2"/>
    <n v="4052.42"/>
    <n v="4199.3"/>
    <s v="New"/>
    <n v="0.1"/>
    <s v="Bank Transfer"/>
    <s v="Retail"/>
    <x v="14"/>
  </r>
  <r>
    <x v="51"/>
    <x v="70"/>
    <s v="David"/>
    <x v="1"/>
    <x v="371"/>
    <n v="45"/>
    <x v="0"/>
    <n v="1623.63"/>
    <n v="1814.63"/>
    <s v="New"/>
    <n v="0.28999999999999998"/>
    <s v="Bank Transfer"/>
    <s v="Retail"/>
    <x v="13"/>
  </r>
  <r>
    <x v="73"/>
    <x v="62"/>
    <s v="David"/>
    <x v="2"/>
    <x v="372"/>
    <n v="23"/>
    <x v="2"/>
    <n v="93.45"/>
    <n v="181.62"/>
    <s v="Returning"/>
    <n v="0.3"/>
    <s v="Bank Transfer"/>
    <s v="Retail"/>
    <x v="2"/>
  </r>
  <r>
    <x v="72"/>
    <x v="224"/>
    <s v="Bob"/>
    <x v="2"/>
    <x v="373"/>
    <n v="5"/>
    <x v="0"/>
    <n v="1941.56"/>
    <n v="2385.48"/>
    <s v="Returning"/>
    <n v="0.15"/>
    <s v="Credit Card"/>
    <s v="Online"/>
    <x v="3"/>
  </r>
  <r>
    <x v="11"/>
    <x v="195"/>
    <s v="Eve"/>
    <x v="2"/>
    <x v="374"/>
    <n v="30"/>
    <x v="1"/>
    <n v="1543.96"/>
    <n v="1558.87"/>
    <s v="Returning"/>
    <n v="0.28000000000000003"/>
    <s v="Credit Card"/>
    <s v="Online"/>
    <x v="6"/>
  </r>
  <r>
    <x v="1"/>
    <x v="11"/>
    <s v="David"/>
    <x v="1"/>
    <x v="375"/>
    <n v="6"/>
    <x v="1"/>
    <n v="235.12"/>
    <n v="677.5"/>
    <s v="Returning"/>
    <n v="0.16"/>
    <s v="Credit Card"/>
    <s v="Online"/>
    <x v="13"/>
  </r>
  <r>
    <x v="98"/>
    <x v="225"/>
    <s v="Alice"/>
    <x v="2"/>
    <x v="376"/>
    <n v="46"/>
    <x v="2"/>
    <n v="2551.56"/>
    <n v="2841.68"/>
    <s v="New"/>
    <n v="0.09"/>
    <s v="Bank Transfer"/>
    <s v="Retail"/>
    <x v="9"/>
  </r>
  <r>
    <x v="14"/>
    <x v="226"/>
    <s v="Bob"/>
    <x v="0"/>
    <x v="377"/>
    <n v="44"/>
    <x v="0"/>
    <n v="2045"/>
    <n v="2217.5100000000002"/>
    <s v="Returning"/>
    <n v="0.08"/>
    <s v="Credit Card"/>
    <s v="Online"/>
    <x v="0"/>
  </r>
  <r>
    <x v="56"/>
    <x v="182"/>
    <s v="Eve"/>
    <x v="3"/>
    <x v="378"/>
    <n v="4"/>
    <x v="2"/>
    <n v="3191.05"/>
    <n v="3555.35"/>
    <s v="New"/>
    <n v="0.28000000000000003"/>
    <s v="Credit Card"/>
    <s v="Online"/>
    <x v="14"/>
  </r>
  <r>
    <x v="73"/>
    <x v="174"/>
    <s v="Bob"/>
    <x v="1"/>
    <x v="379"/>
    <n v="29"/>
    <x v="3"/>
    <n v="3124.87"/>
    <n v="3383.67"/>
    <s v="New"/>
    <n v="0.05"/>
    <s v="Credit Card"/>
    <s v="Retail"/>
    <x v="1"/>
  </r>
  <r>
    <x v="19"/>
    <x v="227"/>
    <s v="Alice"/>
    <x v="2"/>
    <x v="380"/>
    <n v="23"/>
    <x v="3"/>
    <n v="647.70000000000005"/>
    <n v="902.26"/>
    <s v="New"/>
    <n v="0.17"/>
    <s v="Bank Transfer"/>
    <s v="Online"/>
    <x v="9"/>
  </r>
  <r>
    <x v="85"/>
    <x v="228"/>
    <s v="Eve"/>
    <x v="0"/>
    <x v="381"/>
    <n v="6"/>
    <x v="3"/>
    <n v="4885.9799999999996"/>
    <n v="4949.95"/>
    <s v="Returning"/>
    <n v="0.17"/>
    <s v="Bank Transfer"/>
    <s v="Online"/>
    <x v="7"/>
  </r>
  <r>
    <x v="53"/>
    <x v="166"/>
    <s v="Bob"/>
    <x v="3"/>
    <x v="382"/>
    <n v="32"/>
    <x v="3"/>
    <n v="975.31"/>
    <n v="1176.17"/>
    <s v="New"/>
    <n v="0.22"/>
    <s v="Bank Transfer"/>
    <s v="Retail"/>
    <x v="12"/>
  </r>
  <r>
    <x v="59"/>
    <x v="189"/>
    <s v="Charlie"/>
    <x v="3"/>
    <x v="383"/>
    <n v="42"/>
    <x v="2"/>
    <n v="2254.11"/>
    <n v="2382.23"/>
    <s v="Returning"/>
    <n v="0.15"/>
    <s v="Credit Card"/>
    <s v="Retail"/>
    <x v="4"/>
  </r>
  <r>
    <x v="82"/>
    <x v="211"/>
    <s v="Alice"/>
    <x v="1"/>
    <x v="384"/>
    <n v="18"/>
    <x v="3"/>
    <n v="2466.1799999999998"/>
    <n v="2483.87"/>
    <s v="Returning"/>
    <n v="0.08"/>
    <s v="Cash"/>
    <s v="Online"/>
    <x v="17"/>
  </r>
  <r>
    <x v="7"/>
    <x v="229"/>
    <s v="Alice"/>
    <x v="1"/>
    <x v="385"/>
    <n v="15"/>
    <x v="0"/>
    <n v="4074.66"/>
    <n v="4261.1099999999997"/>
    <s v="Returning"/>
    <n v="0.05"/>
    <s v="Credit Card"/>
    <s v="Retail"/>
    <x v="17"/>
  </r>
  <r>
    <x v="20"/>
    <x v="186"/>
    <s v="Alice"/>
    <x v="1"/>
    <x v="386"/>
    <n v="40"/>
    <x v="1"/>
    <n v="541.19000000000005"/>
    <n v="595.20000000000005"/>
    <s v="Returning"/>
    <n v="0.19"/>
    <s v="Credit Card"/>
    <s v="Online"/>
    <x v="17"/>
  </r>
  <r>
    <x v="95"/>
    <x v="173"/>
    <s v="Charlie"/>
    <x v="0"/>
    <x v="387"/>
    <n v="32"/>
    <x v="1"/>
    <n v="2171.79"/>
    <n v="2307.64"/>
    <s v="Returning"/>
    <n v="0.22"/>
    <s v="Bank Transfer"/>
    <s v="Online"/>
    <x v="19"/>
  </r>
  <r>
    <x v="37"/>
    <x v="185"/>
    <s v="Charlie"/>
    <x v="0"/>
    <x v="388"/>
    <n v="9"/>
    <x v="3"/>
    <n v="3161.09"/>
    <n v="3216.42"/>
    <s v="New"/>
    <n v="0.17"/>
    <s v="Bank Transfer"/>
    <s v="Online"/>
    <x v="19"/>
  </r>
  <r>
    <x v="97"/>
    <x v="230"/>
    <s v="David"/>
    <x v="1"/>
    <x v="389"/>
    <n v="37"/>
    <x v="3"/>
    <n v="1115.02"/>
    <n v="1174.48"/>
    <s v="New"/>
    <n v="0.22"/>
    <s v="Credit Card"/>
    <s v="Online"/>
    <x v="13"/>
  </r>
  <r>
    <x v="56"/>
    <x v="137"/>
    <s v="Bob"/>
    <x v="2"/>
    <x v="390"/>
    <n v="10"/>
    <x v="3"/>
    <n v="3155.97"/>
    <n v="3263.49"/>
    <s v="Returning"/>
    <n v="0.04"/>
    <s v="Credit Card"/>
    <s v="Online"/>
    <x v="3"/>
  </r>
  <r>
    <x v="52"/>
    <x v="230"/>
    <s v="David"/>
    <x v="3"/>
    <x v="391"/>
    <n v="20"/>
    <x v="2"/>
    <n v="4622.1400000000003"/>
    <n v="5122.07"/>
    <s v="New"/>
    <n v="0.26"/>
    <s v="Cash"/>
    <s v="Retail"/>
    <x v="16"/>
  </r>
  <r>
    <x v="22"/>
    <x v="107"/>
    <s v="Bob"/>
    <x v="3"/>
    <x v="392"/>
    <n v="6"/>
    <x v="1"/>
    <n v="4987.71"/>
    <n v="4998.78"/>
    <s v="Returning"/>
    <n v="0.17"/>
    <s v="Cash"/>
    <s v="Retail"/>
    <x v="12"/>
  </r>
  <r>
    <x v="95"/>
    <x v="231"/>
    <s v="Charlie"/>
    <x v="0"/>
    <x v="393"/>
    <n v="48"/>
    <x v="3"/>
    <n v="210.63"/>
    <n v="533.57999999999902"/>
    <s v="New"/>
    <n v="0.04"/>
    <s v="Bank Transfer"/>
    <s v="Online"/>
    <x v="19"/>
  </r>
  <r>
    <x v="98"/>
    <x v="32"/>
    <s v="Charlie"/>
    <x v="3"/>
    <x v="394"/>
    <n v="3"/>
    <x v="0"/>
    <n v="1216.1600000000001"/>
    <n v="1295.3699999999999"/>
    <s v="New"/>
    <n v="0.14000000000000001"/>
    <s v="Cash"/>
    <s v="Retail"/>
    <x v="4"/>
  </r>
  <r>
    <x v="11"/>
    <x v="104"/>
    <s v="David"/>
    <x v="2"/>
    <x v="395"/>
    <n v="42"/>
    <x v="3"/>
    <n v="1586.02"/>
    <n v="2047.13"/>
    <s v="New"/>
    <n v="0.25"/>
    <s v="Cash"/>
    <s v="Retail"/>
    <x v="2"/>
  </r>
  <r>
    <x v="82"/>
    <x v="232"/>
    <s v="Eve"/>
    <x v="3"/>
    <x v="396"/>
    <n v="11"/>
    <x v="1"/>
    <n v="2025.67"/>
    <n v="2081.5500000000002"/>
    <s v="New"/>
    <n v="0.27"/>
    <s v="Bank Transfer"/>
    <s v="Online"/>
    <x v="14"/>
  </r>
  <r>
    <x v="31"/>
    <x v="197"/>
    <s v="David"/>
    <x v="0"/>
    <x v="397"/>
    <n v="43"/>
    <x v="3"/>
    <n v="1249.17"/>
    <n v="1727.15"/>
    <s v="New"/>
    <n v="0.08"/>
    <s v="Cash"/>
    <s v="Retail"/>
    <x v="11"/>
  </r>
  <r>
    <x v="74"/>
    <x v="233"/>
    <s v="Bob"/>
    <x v="0"/>
    <x v="398"/>
    <n v="17"/>
    <x v="1"/>
    <n v="1057.27"/>
    <n v="1366.62"/>
    <s v="New"/>
    <n v="0.21"/>
    <s v="Credit Card"/>
    <s v="Retail"/>
    <x v="0"/>
  </r>
  <r>
    <x v="71"/>
    <x v="234"/>
    <s v="David"/>
    <x v="2"/>
    <x v="399"/>
    <n v="32"/>
    <x v="3"/>
    <n v="4775.04"/>
    <n v="4785.66"/>
    <s v="New"/>
    <n v="0.03"/>
    <s v="Cash"/>
    <s v="Online"/>
    <x v="2"/>
  </r>
  <r>
    <x v="83"/>
    <x v="235"/>
    <s v="Alice"/>
    <x v="2"/>
    <x v="400"/>
    <n v="4"/>
    <x v="0"/>
    <n v="4596.68"/>
    <n v="5044.74"/>
    <s v="New"/>
    <n v="0.01"/>
    <s v="Bank Transfer"/>
    <s v="Online"/>
    <x v="9"/>
  </r>
  <r>
    <x v="75"/>
    <x v="236"/>
    <s v="Bob"/>
    <x v="3"/>
    <x v="401"/>
    <n v="4"/>
    <x v="3"/>
    <n v="282.61"/>
    <n v="548.25"/>
    <s v="New"/>
    <n v="0.17"/>
    <s v="Credit Card"/>
    <s v="Online"/>
    <x v="12"/>
  </r>
  <r>
    <x v="15"/>
    <x v="21"/>
    <s v="Bob"/>
    <x v="3"/>
    <x v="402"/>
    <n v="17"/>
    <x v="0"/>
    <n v="1727.12"/>
    <n v="1865.83"/>
    <s v="New"/>
    <n v="0.21"/>
    <s v="Cash"/>
    <s v="Online"/>
    <x v="12"/>
  </r>
  <r>
    <x v="41"/>
    <x v="168"/>
    <s v="Eve"/>
    <x v="0"/>
    <x v="403"/>
    <n v="41"/>
    <x v="0"/>
    <n v="2055.4899999999998"/>
    <n v="2441.46"/>
    <s v="New"/>
    <n v="0.24"/>
    <s v="Credit Card"/>
    <s v="Online"/>
    <x v="7"/>
  </r>
  <r>
    <x v="90"/>
    <x v="157"/>
    <s v="Charlie"/>
    <x v="2"/>
    <x v="404"/>
    <n v="19"/>
    <x v="3"/>
    <n v="1233.1199999999999"/>
    <n v="1697.1899999999901"/>
    <s v="New"/>
    <n v="0.1"/>
    <s v="Credit Card"/>
    <s v="Online"/>
    <x v="10"/>
  </r>
  <r>
    <x v="20"/>
    <x v="237"/>
    <s v="Bob"/>
    <x v="2"/>
    <x v="405"/>
    <n v="5"/>
    <x v="0"/>
    <n v="3162.92"/>
    <n v="3409.93"/>
    <s v="New"/>
    <n v="0"/>
    <s v="Cash"/>
    <s v="Online"/>
    <x v="3"/>
  </r>
  <r>
    <x v="40"/>
    <x v="238"/>
    <s v="Charlie"/>
    <x v="2"/>
    <x v="406"/>
    <n v="32"/>
    <x v="2"/>
    <n v="3219.88"/>
    <n v="3384.5"/>
    <s v="Returning"/>
    <n v="0.14000000000000001"/>
    <s v="Cash"/>
    <s v="Retail"/>
    <x v="10"/>
  </r>
  <r>
    <x v="80"/>
    <x v="186"/>
    <s v="David"/>
    <x v="3"/>
    <x v="407"/>
    <n v="22"/>
    <x v="3"/>
    <n v="4260"/>
    <n v="4656.58"/>
    <s v="New"/>
    <n v="0"/>
    <s v="Bank Transfer"/>
    <s v="Online"/>
    <x v="16"/>
  </r>
  <r>
    <x v="57"/>
    <x v="62"/>
    <s v="Alice"/>
    <x v="2"/>
    <x v="408"/>
    <n v="6"/>
    <x v="3"/>
    <n v="3717.3"/>
    <n v="4061.37"/>
    <s v="New"/>
    <n v="0.03"/>
    <s v="Bank Transfer"/>
    <s v="Retail"/>
    <x v="9"/>
  </r>
  <r>
    <x v="36"/>
    <x v="37"/>
    <s v="Eve"/>
    <x v="0"/>
    <x v="409"/>
    <n v="35"/>
    <x v="0"/>
    <n v="2735.74"/>
    <n v="3181.22999999999"/>
    <s v="New"/>
    <n v="0.1"/>
    <s v="Credit Card"/>
    <s v="Retail"/>
    <x v="7"/>
  </r>
  <r>
    <x v="1"/>
    <x v="49"/>
    <s v="Charlie"/>
    <x v="0"/>
    <x v="410"/>
    <n v="22"/>
    <x v="0"/>
    <n v="3285.25"/>
    <n v="3634.58"/>
    <s v="New"/>
    <n v="0.13"/>
    <s v="Bank Transfer"/>
    <s v="Online"/>
    <x v="19"/>
  </r>
  <r>
    <x v="27"/>
    <x v="239"/>
    <s v="Bob"/>
    <x v="3"/>
    <x v="411"/>
    <n v="1"/>
    <x v="3"/>
    <n v="1406.24"/>
    <n v="1535.57"/>
    <s v="New"/>
    <n v="0.08"/>
    <s v="Credit Card"/>
    <s v="Retail"/>
    <x v="12"/>
  </r>
  <r>
    <x v="61"/>
    <x v="173"/>
    <s v="Charlie"/>
    <x v="1"/>
    <x v="412"/>
    <n v="20"/>
    <x v="2"/>
    <n v="2985.63"/>
    <n v="3452.14"/>
    <s v="New"/>
    <n v="0.17"/>
    <s v="Credit Card"/>
    <s v="Retail"/>
    <x v="5"/>
  </r>
  <r>
    <x v="73"/>
    <x v="240"/>
    <s v="Bob"/>
    <x v="3"/>
    <x v="413"/>
    <n v="22"/>
    <x v="0"/>
    <n v="2471.67"/>
    <n v="2533.04"/>
    <s v="Returning"/>
    <n v="0.02"/>
    <s v="Bank Transfer"/>
    <s v="Retail"/>
    <x v="12"/>
  </r>
  <r>
    <x v="50"/>
    <x v="5"/>
    <s v="Charlie"/>
    <x v="1"/>
    <x v="414"/>
    <n v="48"/>
    <x v="0"/>
    <n v="710.06"/>
    <n v="851.349999999999"/>
    <s v="Returning"/>
    <n v="0.04"/>
    <s v="Bank Transfer"/>
    <s v="Online"/>
    <x v="5"/>
  </r>
  <r>
    <x v="97"/>
    <x v="64"/>
    <s v="Bob"/>
    <x v="2"/>
    <x v="415"/>
    <n v="11"/>
    <x v="1"/>
    <n v="1250.5899999999999"/>
    <n v="1515.48999999999"/>
    <s v="Returning"/>
    <n v="0.21"/>
    <s v="Bank Transfer"/>
    <s v="Retail"/>
    <x v="3"/>
  </r>
  <r>
    <x v="11"/>
    <x v="241"/>
    <s v="David"/>
    <x v="3"/>
    <x v="416"/>
    <n v="13"/>
    <x v="2"/>
    <n v="1493.88"/>
    <n v="1781.09"/>
    <s v="New"/>
    <n v="0.04"/>
    <s v="Cash"/>
    <s v="Retail"/>
    <x v="16"/>
  </r>
  <r>
    <x v="81"/>
    <x v="0"/>
    <s v="Bob"/>
    <x v="0"/>
    <x v="417"/>
    <n v="42"/>
    <x v="2"/>
    <n v="4625.33"/>
    <n v="4642.83"/>
    <s v="New"/>
    <n v="0.19"/>
    <s v="Credit Card"/>
    <s v="Online"/>
    <x v="0"/>
  </r>
  <r>
    <x v="19"/>
    <x v="172"/>
    <s v="Bob"/>
    <x v="2"/>
    <x v="418"/>
    <n v="3"/>
    <x v="3"/>
    <n v="1190.4100000000001"/>
    <n v="1582.89"/>
    <s v="New"/>
    <n v="0.02"/>
    <s v="Credit Card"/>
    <s v="Retail"/>
    <x v="3"/>
  </r>
  <r>
    <x v="34"/>
    <x v="98"/>
    <s v="Alice"/>
    <x v="0"/>
    <x v="419"/>
    <n v="9"/>
    <x v="2"/>
    <n v="1481.76"/>
    <n v="1668.95"/>
    <s v="Returning"/>
    <n v="0.12"/>
    <s v="Credit Card"/>
    <s v="Retail"/>
    <x v="15"/>
  </r>
  <r>
    <x v="84"/>
    <x v="115"/>
    <s v="Bob"/>
    <x v="2"/>
    <x v="420"/>
    <n v="12"/>
    <x v="3"/>
    <n v="1878.3"/>
    <n v="2087.4499999999998"/>
    <s v="New"/>
    <n v="0.05"/>
    <s v="Bank Transfer"/>
    <s v="Retail"/>
    <x v="3"/>
  </r>
  <r>
    <x v="49"/>
    <x v="85"/>
    <s v="Alice"/>
    <x v="3"/>
    <x v="421"/>
    <n v="23"/>
    <x v="1"/>
    <n v="3335.53"/>
    <n v="3742.12"/>
    <s v="New"/>
    <n v="0.03"/>
    <s v="Bank Transfer"/>
    <s v="Retail"/>
    <x v="18"/>
  </r>
  <r>
    <x v="64"/>
    <x v="202"/>
    <s v="Eve"/>
    <x v="1"/>
    <x v="422"/>
    <n v="14"/>
    <x v="2"/>
    <n v="635.28"/>
    <n v="831.13"/>
    <s v="Returning"/>
    <n v="0.17"/>
    <s v="Bank Transfer"/>
    <s v="Retail"/>
    <x v="8"/>
  </r>
  <r>
    <x v="94"/>
    <x v="167"/>
    <s v="Alice"/>
    <x v="2"/>
    <x v="423"/>
    <n v="33"/>
    <x v="0"/>
    <n v="4772.03"/>
    <n v="4805.17"/>
    <s v="Returning"/>
    <n v="0.28000000000000003"/>
    <s v="Bank Transfer"/>
    <s v="Online"/>
    <x v="9"/>
  </r>
  <r>
    <x v="65"/>
    <x v="242"/>
    <s v="David"/>
    <x v="1"/>
    <x v="424"/>
    <n v="18"/>
    <x v="1"/>
    <n v="4334.58"/>
    <n v="4431.04"/>
    <s v="New"/>
    <n v="0.02"/>
    <s v="Bank Transfer"/>
    <s v="Retail"/>
    <x v="13"/>
  </r>
  <r>
    <x v="45"/>
    <x v="182"/>
    <s v="Alice"/>
    <x v="2"/>
    <x v="425"/>
    <n v="49"/>
    <x v="3"/>
    <n v="2907.22"/>
    <n v="3385.6099999999901"/>
    <s v="New"/>
    <n v="0.13"/>
    <s v="Cash"/>
    <s v="Online"/>
    <x v="9"/>
  </r>
  <r>
    <x v="93"/>
    <x v="243"/>
    <s v="Eve"/>
    <x v="0"/>
    <x v="426"/>
    <n v="41"/>
    <x v="1"/>
    <n v="3386.49"/>
    <n v="3430.99"/>
    <s v="New"/>
    <n v="0.21"/>
    <s v="Bank Transfer"/>
    <s v="Retail"/>
    <x v="7"/>
  </r>
  <r>
    <x v="39"/>
    <x v="163"/>
    <s v="David"/>
    <x v="0"/>
    <x v="427"/>
    <n v="9"/>
    <x v="3"/>
    <n v="132.47"/>
    <n v="316.39"/>
    <s v="New"/>
    <n v="0.14000000000000001"/>
    <s v="Credit Card"/>
    <s v="Online"/>
    <x v="11"/>
  </r>
  <r>
    <x v="21"/>
    <x v="155"/>
    <s v="Charlie"/>
    <x v="2"/>
    <x v="428"/>
    <n v="23"/>
    <x v="1"/>
    <n v="1727.78"/>
    <n v="1984.34"/>
    <s v="Returning"/>
    <n v="0.24"/>
    <s v="Bank Transfer"/>
    <s v="Online"/>
    <x v="10"/>
  </r>
  <r>
    <x v="7"/>
    <x v="39"/>
    <s v="Charlie"/>
    <x v="1"/>
    <x v="429"/>
    <n v="10"/>
    <x v="3"/>
    <n v="3988.52"/>
    <n v="4240.2299999999996"/>
    <s v="New"/>
    <n v="0.05"/>
    <s v="Credit Card"/>
    <s v="Online"/>
    <x v="5"/>
  </r>
  <r>
    <x v="2"/>
    <x v="244"/>
    <s v="Alice"/>
    <x v="3"/>
    <x v="430"/>
    <n v="19"/>
    <x v="2"/>
    <n v="433.54"/>
    <n v="445.48"/>
    <s v="New"/>
    <n v="0.28999999999999998"/>
    <s v="Bank Transfer"/>
    <s v="Retail"/>
    <x v="18"/>
  </r>
  <r>
    <x v="28"/>
    <x v="74"/>
    <s v="Alice"/>
    <x v="3"/>
    <x v="431"/>
    <n v="47"/>
    <x v="0"/>
    <n v="1447.45"/>
    <n v="1703.02"/>
    <s v="Returning"/>
    <n v="0.12"/>
    <s v="Bank Transfer"/>
    <s v="Retail"/>
    <x v="18"/>
  </r>
  <r>
    <x v="92"/>
    <x v="238"/>
    <s v="Eve"/>
    <x v="0"/>
    <x v="432"/>
    <n v="5"/>
    <x v="3"/>
    <n v="2947.22"/>
    <n v="3145.27"/>
    <s v="New"/>
    <n v="0.1"/>
    <s v="Credit Card"/>
    <s v="Retail"/>
    <x v="7"/>
  </r>
  <r>
    <x v="83"/>
    <x v="245"/>
    <s v="Eve"/>
    <x v="3"/>
    <x v="433"/>
    <n v="47"/>
    <x v="1"/>
    <n v="1319.24"/>
    <n v="1805.56"/>
    <s v="New"/>
    <n v="0.26"/>
    <s v="Credit Card"/>
    <s v="Retail"/>
    <x v="14"/>
  </r>
  <r>
    <x v="82"/>
    <x v="104"/>
    <s v="Bob"/>
    <x v="0"/>
    <x v="434"/>
    <n v="23"/>
    <x v="3"/>
    <n v="4673.1899999999996"/>
    <n v="4761.1799999999903"/>
    <s v="Returning"/>
    <n v="0.17"/>
    <s v="Credit Card"/>
    <s v="Retail"/>
    <x v="0"/>
  </r>
  <r>
    <x v="7"/>
    <x v="117"/>
    <s v="Eve"/>
    <x v="3"/>
    <x v="435"/>
    <n v="30"/>
    <x v="3"/>
    <n v="698.74"/>
    <n v="882.28"/>
    <s v="Returning"/>
    <n v="0.15"/>
    <s v="Credit Card"/>
    <s v="Online"/>
    <x v="14"/>
  </r>
  <r>
    <x v="53"/>
    <x v="46"/>
    <s v="Bob"/>
    <x v="2"/>
    <x v="436"/>
    <n v="25"/>
    <x v="3"/>
    <n v="3997.1"/>
    <n v="4212.6499999999996"/>
    <s v="New"/>
    <n v="0.22"/>
    <s v="Cash"/>
    <s v="Online"/>
    <x v="3"/>
  </r>
  <r>
    <x v="74"/>
    <x v="246"/>
    <s v="David"/>
    <x v="0"/>
    <x v="437"/>
    <n v="28"/>
    <x v="1"/>
    <n v="2564.35"/>
    <n v="2765.79"/>
    <s v="Returning"/>
    <n v="0.17"/>
    <s v="Credit Card"/>
    <s v="Online"/>
    <x v="11"/>
  </r>
  <r>
    <x v="32"/>
    <x v="247"/>
    <s v="Alice"/>
    <x v="0"/>
    <x v="438"/>
    <n v="34"/>
    <x v="0"/>
    <n v="3764.14"/>
    <n v="4100.3999999999996"/>
    <s v="Returning"/>
    <n v="0.05"/>
    <s v="Bank Transfer"/>
    <s v="Retail"/>
    <x v="15"/>
  </r>
  <r>
    <x v="97"/>
    <x v="248"/>
    <s v="David"/>
    <x v="2"/>
    <x v="439"/>
    <n v="45"/>
    <x v="2"/>
    <n v="1588.04"/>
    <n v="1703.6399999999901"/>
    <s v="New"/>
    <n v="0.2"/>
    <s v="Bank Transfer"/>
    <s v="Retail"/>
    <x v="2"/>
  </r>
  <r>
    <x v="22"/>
    <x v="249"/>
    <s v="Eve"/>
    <x v="0"/>
    <x v="440"/>
    <n v="48"/>
    <x v="0"/>
    <n v="2596.7199999999998"/>
    <n v="2715.0499999999902"/>
    <s v="Returning"/>
    <n v="0.04"/>
    <s v="Cash"/>
    <s v="Online"/>
    <x v="7"/>
  </r>
  <r>
    <x v="53"/>
    <x v="75"/>
    <s v="David"/>
    <x v="3"/>
    <x v="441"/>
    <n v="47"/>
    <x v="3"/>
    <n v="4291.33"/>
    <n v="4658.6400000000003"/>
    <s v="New"/>
    <n v="0.24"/>
    <s v="Credit Card"/>
    <s v="Retail"/>
    <x v="16"/>
  </r>
  <r>
    <x v="30"/>
    <x v="250"/>
    <s v="David"/>
    <x v="3"/>
    <x v="442"/>
    <n v="25"/>
    <x v="1"/>
    <n v="2361.0500000000002"/>
    <n v="2616.19"/>
    <s v="New"/>
    <n v="0.3"/>
    <s v="Bank Transfer"/>
    <s v="Retail"/>
    <x v="16"/>
  </r>
  <r>
    <x v="13"/>
    <x v="147"/>
    <s v="David"/>
    <x v="0"/>
    <x v="443"/>
    <n v="10"/>
    <x v="0"/>
    <n v="1830.61"/>
    <n v="2044.04"/>
    <s v="New"/>
    <n v="0.11"/>
    <s v="Cash"/>
    <s v="Online"/>
    <x v="11"/>
  </r>
  <r>
    <x v="22"/>
    <x v="251"/>
    <s v="Eve"/>
    <x v="3"/>
    <x v="444"/>
    <n v="14"/>
    <x v="3"/>
    <n v="2703.97"/>
    <n v="2796.8799999999901"/>
    <s v="New"/>
    <n v="0.13"/>
    <s v="Bank Transfer"/>
    <s v="Online"/>
    <x v="14"/>
  </r>
  <r>
    <x v="22"/>
    <x v="252"/>
    <s v="David"/>
    <x v="1"/>
    <x v="445"/>
    <n v="42"/>
    <x v="2"/>
    <n v="3600.95"/>
    <n v="3702.8399999999901"/>
    <s v="Returning"/>
    <n v="0.01"/>
    <s v="Cash"/>
    <s v="Retail"/>
    <x v="13"/>
  </r>
  <r>
    <x v="74"/>
    <x v="253"/>
    <s v="Bob"/>
    <x v="0"/>
    <x v="446"/>
    <n v="46"/>
    <x v="2"/>
    <n v="2245.64"/>
    <n v="2260.81"/>
    <s v="New"/>
    <n v="0"/>
    <s v="Cash"/>
    <s v="Retail"/>
    <x v="0"/>
  </r>
  <r>
    <x v="24"/>
    <x v="138"/>
    <s v="Eve"/>
    <x v="2"/>
    <x v="447"/>
    <n v="30"/>
    <x v="2"/>
    <n v="4697.4399999999996"/>
    <n v="4752.24"/>
    <s v="New"/>
    <n v="0.28000000000000003"/>
    <s v="Credit Card"/>
    <s v="Online"/>
    <x v="6"/>
  </r>
  <r>
    <x v="0"/>
    <x v="9"/>
    <s v="David"/>
    <x v="1"/>
    <x v="448"/>
    <n v="41"/>
    <x v="3"/>
    <n v="1509.98"/>
    <n v="1792.83"/>
    <s v="New"/>
    <n v="0.04"/>
    <s v="Cash"/>
    <s v="Retail"/>
    <x v="13"/>
  </r>
  <r>
    <x v="27"/>
    <x v="157"/>
    <s v="Eve"/>
    <x v="0"/>
    <x v="449"/>
    <n v="25"/>
    <x v="1"/>
    <n v="2403.54"/>
    <n v="2850.56"/>
    <s v="New"/>
    <n v="0.13"/>
    <s v="Bank Transfer"/>
    <s v="Online"/>
    <x v="7"/>
  </r>
  <r>
    <x v="86"/>
    <x v="165"/>
    <s v="Charlie"/>
    <x v="2"/>
    <x v="450"/>
    <n v="14"/>
    <x v="0"/>
    <n v="3796.79"/>
    <n v="3947.5"/>
    <s v="Returning"/>
    <n v="0.24"/>
    <s v="Bank Transfer"/>
    <s v="Online"/>
    <x v="10"/>
  </r>
  <r>
    <x v="2"/>
    <x v="91"/>
    <s v="Bob"/>
    <x v="3"/>
    <x v="451"/>
    <n v="35"/>
    <x v="2"/>
    <n v="3461.15"/>
    <n v="3631.75"/>
    <s v="Returning"/>
    <n v="0.27"/>
    <s v="Credit Card"/>
    <s v="Online"/>
    <x v="12"/>
  </r>
  <r>
    <x v="52"/>
    <x v="87"/>
    <s v="David"/>
    <x v="2"/>
    <x v="452"/>
    <n v="48"/>
    <x v="3"/>
    <n v="4325.0200000000004"/>
    <n v="4391.67"/>
    <s v="Returning"/>
    <n v="0.16"/>
    <s v="Credit Card"/>
    <s v="Retail"/>
    <x v="2"/>
  </r>
  <r>
    <x v="19"/>
    <x v="142"/>
    <s v="Charlie"/>
    <x v="1"/>
    <x v="453"/>
    <n v="34"/>
    <x v="3"/>
    <n v="4984.21"/>
    <n v="5184.6400000000003"/>
    <s v="New"/>
    <n v="0.17"/>
    <s v="Cash"/>
    <s v="Online"/>
    <x v="5"/>
  </r>
  <r>
    <x v="85"/>
    <x v="254"/>
    <s v="Charlie"/>
    <x v="3"/>
    <x v="454"/>
    <n v="10"/>
    <x v="0"/>
    <n v="2162.9499999999998"/>
    <n v="2191.1899999999901"/>
    <s v="Returning"/>
    <n v="0.2"/>
    <s v="Credit Card"/>
    <s v="Online"/>
    <x v="4"/>
  </r>
  <r>
    <x v="45"/>
    <x v="55"/>
    <s v="Eve"/>
    <x v="0"/>
    <x v="455"/>
    <n v="35"/>
    <x v="2"/>
    <n v="600.20000000000005"/>
    <n v="1059.82"/>
    <s v="Returning"/>
    <n v="0.28999999999999998"/>
    <s v="Bank Transfer"/>
    <s v="Retail"/>
    <x v="7"/>
  </r>
  <r>
    <x v="14"/>
    <x v="255"/>
    <s v="Charlie"/>
    <x v="3"/>
    <x v="456"/>
    <n v="11"/>
    <x v="3"/>
    <n v="200.56"/>
    <n v="540.38"/>
    <s v="New"/>
    <n v="0.18"/>
    <s v="Bank Transfer"/>
    <s v="Online"/>
    <x v="4"/>
  </r>
  <r>
    <x v="19"/>
    <x v="105"/>
    <s v="Bob"/>
    <x v="0"/>
    <x v="457"/>
    <n v="11"/>
    <x v="0"/>
    <n v="3648.04"/>
    <n v="4143.51"/>
    <s v="Returning"/>
    <n v="0.17"/>
    <s v="Credit Card"/>
    <s v="Retail"/>
    <x v="0"/>
  </r>
  <r>
    <x v="68"/>
    <x v="256"/>
    <s v="Bob"/>
    <x v="0"/>
    <x v="458"/>
    <n v="21"/>
    <x v="1"/>
    <n v="4376.37"/>
    <n v="4818.95"/>
    <s v="New"/>
    <n v="0"/>
    <s v="Credit Card"/>
    <s v="Retail"/>
    <x v="0"/>
  </r>
  <r>
    <x v="89"/>
    <x v="257"/>
    <s v="Alice"/>
    <x v="2"/>
    <x v="459"/>
    <n v="21"/>
    <x v="1"/>
    <n v="1142.53"/>
    <n v="1384.3"/>
    <s v="Returning"/>
    <n v="0.02"/>
    <s v="Credit Card"/>
    <s v="Retail"/>
    <x v="9"/>
  </r>
  <r>
    <x v="51"/>
    <x v="250"/>
    <s v="Bob"/>
    <x v="2"/>
    <x v="460"/>
    <n v="22"/>
    <x v="1"/>
    <n v="834.32"/>
    <n v="1098.97"/>
    <s v="Returning"/>
    <n v="0.17"/>
    <s v="Cash"/>
    <s v="Online"/>
    <x v="3"/>
  </r>
  <r>
    <x v="78"/>
    <x v="238"/>
    <s v="Charlie"/>
    <x v="2"/>
    <x v="461"/>
    <n v="45"/>
    <x v="2"/>
    <n v="357.92"/>
    <n v="461.3"/>
    <s v="Returning"/>
    <n v="0.28000000000000003"/>
    <s v="Cash"/>
    <s v="Online"/>
    <x v="10"/>
  </r>
  <r>
    <x v="79"/>
    <x v="164"/>
    <s v="Bob"/>
    <x v="1"/>
    <x v="462"/>
    <n v="7"/>
    <x v="0"/>
    <n v="4122.38"/>
    <n v="4358.78"/>
    <s v="Returning"/>
    <n v="0.26"/>
    <s v="Bank Transfer"/>
    <s v="Retail"/>
    <x v="1"/>
  </r>
  <r>
    <x v="31"/>
    <x v="1"/>
    <s v="Eve"/>
    <x v="1"/>
    <x v="463"/>
    <n v="17"/>
    <x v="0"/>
    <n v="1591.34"/>
    <n v="2043.82"/>
    <s v="New"/>
    <n v="0.28999999999999998"/>
    <s v="Cash"/>
    <s v="Retail"/>
    <x v="8"/>
  </r>
  <r>
    <x v="73"/>
    <x v="26"/>
    <s v="Alice"/>
    <x v="2"/>
    <x v="464"/>
    <n v="2"/>
    <x v="3"/>
    <n v="2038.4"/>
    <n v="2073.3200000000002"/>
    <s v="New"/>
    <n v="0.16"/>
    <s v="Cash"/>
    <s v="Retail"/>
    <x v="9"/>
  </r>
  <r>
    <x v="33"/>
    <x v="234"/>
    <s v="Charlie"/>
    <x v="1"/>
    <x v="465"/>
    <n v="12"/>
    <x v="3"/>
    <n v="2538.61"/>
    <n v="2971.75"/>
    <s v="Returning"/>
    <n v="0.24"/>
    <s v="Cash"/>
    <s v="Online"/>
    <x v="5"/>
  </r>
  <r>
    <x v="58"/>
    <x v="83"/>
    <s v="Alice"/>
    <x v="3"/>
    <x v="466"/>
    <n v="42"/>
    <x v="3"/>
    <n v="4205.29"/>
    <n v="4382.3500000000004"/>
    <s v="New"/>
    <n v="0.25"/>
    <s v="Cash"/>
    <s v="Retail"/>
    <x v="18"/>
  </r>
  <r>
    <x v="0"/>
    <x v="258"/>
    <s v="Charlie"/>
    <x v="3"/>
    <x v="467"/>
    <n v="18"/>
    <x v="0"/>
    <n v="3271.62"/>
    <n v="3722.38"/>
    <s v="Returning"/>
    <n v="0.19"/>
    <s v="Bank Transfer"/>
    <s v="Retail"/>
    <x v="4"/>
  </r>
  <r>
    <x v="93"/>
    <x v="15"/>
    <s v="Eve"/>
    <x v="1"/>
    <x v="468"/>
    <n v="11"/>
    <x v="3"/>
    <n v="3094.57"/>
    <n v="3565.6"/>
    <s v="Returning"/>
    <n v="0.1"/>
    <s v="Credit Card"/>
    <s v="Retail"/>
    <x v="8"/>
  </r>
  <r>
    <x v="81"/>
    <x v="259"/>
    <s v="Alice"/>
    <x v="1"/>
    <x v="469"/>
    <n v="16"/>
    <x v="0"/>
    <n v="919.58"/>
    <n v="1258.3"/>
    <s v="Returning"/>
    <n v="0.14000000000000001"/>
    <s v="Bank Transfer"/>
    <s v="Online"/>
    <x v="17"/>
  </r>
  <r>
    <x v="16"/>
    <x v="33"/>
    <s v="David"/>
    <x v="3"/>
    <x v="470"/>
    <n v="49"/>
    <x v="0"/>
    <n v="2590.29"/>
    <n v="2925.86"/>
    <s v="Returning"/>
    <n v="0.26"/>
    <s v="Cash"/>
    <s v="Retail"/>
    <x v="16"/>
  </r>
  <r>
    <x v="88"/>
    <x v="208"/>
    <s v="Charlie"/>
    <x v="0"/>
    <x v="471"/>
    <n v="18"/>
    <x v="1"/>
    <n v="3591.14"/>
    <n v="3822.99"/>
    <s v="Returning"/>
    <n v="0.09"/>
    <s v="Credit Card"/>
    <s v="Online"/>
    <x v="19"/>
  </r>
  <r>
    <x v="90"/>
    <x v="141"/>
    <s v="David"/>
    <x v="3"/>
    <x v="472"/>
    <n v="35"/>
    <x v="3"/>
    <n v="4867.6400000000003"/>
    <n v="5287.05"/>
    <s v="Returning"/>
    <n v="0.28000000000000003"/>
    <s v="Credit Card"/>
    <s v="Online"/>
    <x v="16"/>
  </r>
  <r>
    <x v="53"/>
    <x v="257"/>
    <s v="Alice"/>
    <x v="3"/>
    <x v="473"/>
    <n v="26"/>
    <x v="1"/>
    <n v="1046.96"/>
    <n v="1528.15"/>
    <s v="New"/>
    <n v="7.0000000000000007E-2"/>
    <s v="Credit Card"/>
    <s v="Retail"/>
    <x v="18"/>
  </r>
  <r>
    <x v="88"/>
    <x v="169"/>
    <s v="David"/>
    <x v="1"/>
    <x v="474"/>
    <n v="16"/>
    <x v="2"/>
    <n v="97.24"/>
    <n v="487.03"/>
    <s v="New"/>
    <n v="0.22"/>
    <s v="Bank Transfer"/>
    <s v="Retail"/>
    <x v="13"/>
  </r>
  <r>
    <x v="28"/>
    <x v="181"/>
    <s v="David"/>
    <x v="3"/>
    <x v="475"/>
    <n v="6"/>
    <x v="2"/>
    <n v="422.74"/>
    <n v="737.49"/>
    <s v="Returning"/>
    <n v="0.19"/>
    <s v="Credit Card"/>
    <s v="Retail"/>
    <x v="16"/>
  </r>
  <r>
    <x v="22"/>
    <x v="13"/>
    <s v="Alice"/>
    <x v="1"/>
    <x v="476"/>
    <n v="44"/>
    <x v="2"/>
    <n v="1910.47"/>
    <n v="2217.8000000000002"/>
    <s v="New"/>
    <n v="0.22"/>
    <s v="Bank Transfer"/>
    <s v="Online"/>
    <x v="17"/>
  </r>
  <r>
    <x v="33"/>
    <x v="233"/>
    <s v="Eve"/>
    <x v="1"/>
    <x v="477"/>
    <n v="43"/>
    <x v="0"/>
    <n v="4111.7"/>
    <n v="4537.9399999999996"/>
    <s v="Returning"/>
    <n v="0.13"/>
    <s v="Bank Transfer"/>
    <s v="Online"/>
    <x v="8"/>
  </r>
  <r>
    <x v="41"/>
    <x v="168"/>
    <s v="David"/>
    <x v="2"/>
    <x v="478"/>
    <n v="47"/>
    <x v="0"/>
    <n v="85.35"/>
    <n v="360.539999999999"/>
    <s v="New"/>
    <n v="0.28000000000000003"/>
    <s v="Cash"/>
    <s v="Online"/>
    <x v="2"/>
  </r>
  <r>
    <x v="41"/>
    <x v="260"/>
    <s v="David"/>
    <x v="3"/>
    <x v="479"/>
    <n v="47"/>
    <x v="0"/>
    <n v="2310.8200000000002"/>
    <n v="2714.71"/>
    <s v="New"/>
    <n v="0.19"/>
    <s v="Cash"/>
    <s v="Retail"/>
    <x v="16"/>
  </r>
  <r>
    <x v="30"/>
    <x v="233"/>
    <s v="Eve"/>
    <x v="0"/>
    <x v="480"/>
    <n v="48"/>
    <x v="3"/>
    <n v="1679.69"/>
    <n v="1939.04"/>
    <s v="New"/>
    <n v="0.09"/>
    <s v="Credit Card"/>
    <s v="Online"/>
    <x v="7"/>
  </r>
  <r>
    <x v="71"/>
    <x v="87"/>
    <s v="David"/>
    <x v="2"/>
    <x v="481"/>
    <n v="42"/>
    <x v="1"/>
    <n v="309.77999999999997"/>
    <n v="350.38"/>
    <s v="Returning"/>
    <n v="0.19"/>
    <s v="Credit Card"/>
    <s v="Retail"/>
    <x v="2"/>
  </r>
  <r>
    <x v="40"/>
    <x v="172"/>
    <s v="David"/>
    <x v="1"/>
    <x v="482"/>
    <n v="12"/>
    <x v="0"/>
    <n v="2278.67"/>
    <n v="2476.8000000000002"/>
    <s v="New"/>
    <n v="0.09"/>
    <s v="Cash"/>
    <s v="Retail"/>
    <x v="13"/>
  </r>
  <r>
    <x v="70"/>
    <x v="261"/>
    <s v="David"/>
    <x v="1"/>
    <x v="483"/>
    <n v="13"/>
    <x v="1"/>
    <n v="1311.01"/>
    <n v="1538.79"/>
    <s v="Returning"/>
    <n v="0.09"/>
    <s v="Bank Transfer"/>
    <s v="Retail"/>
    <x v="13"/>
  </r>
  <r>
    <x v="66"/>
    <x v="262"/>
    <s v="Bob"/>
    <x v="0"/>
    <x v="484"/>
    <n v="4"/>
    <x v="1"/>
    <n v="1791.83"/>
    <n v="1871.22"/>
    <s v="Returning"/>
    <n v="0.12"/>
    <s v="Bank Transfer"/>
    <s v="Online"/>
    <x v="0"/>
  </r>
  <r>
    <x v="22"/>
    <x v="263"/>
    <s v="Eve"/>
    <x v="1"/>
    <x v="485"/>
    <n v="39"/>
    <x v="1"/>
    <n v="3542.8"/>
    <n v="3603.02"/>
    <s v="Returning"/>
    <n v="0.26"/>
    <s v="Cash"/>
    <s v="Online"/>
    <x v="8"/>
  </r>
  <r>
    <x v="66"/>
    <x v="106"/>
    <s v="David"/>
    <x v="3"/>
    <x v="486"/>
    <n v="2"/>
    <x v="3"/>
    <n v="2631.68"/>
    <n v="2904.06"/>
    <s v="New"/>
    <n v="0.15"/>
    <s v="Bank Transfer"/>
    <s v="Online"/>
    <x v="16"/>
  </r>
  <r>
    <x v="54"/>
    <x v="5"/>
    <s v="Eve"/>
    <x v="2"/>
    <x v="487"/>
    <n v="26"/>
    <x v="3"/>
    <n v="667"/>
    <n v="718.72"/>
    <s v="New"/>
    <n v="0.2"/>
    <s v="Cash"/>
    <s v="Retail"/>
    <x v="6"/>
  </r>
  <r>
    <x v="78"/>
    <x v="170"/>
    <s v="Charlie"/>
    <x v="1"/>
    <x v="488"/>
    <n v="27"/>
    <x v="2"/>
    <n v="4809"/>
    <n v="4967.4399999999996"/>
    <s v="New"/>
    <n v="0.12"/>
    <s v="Cash"/>
    <s v="Online"/>
    <x v="5"/>
  </r>
  <r>
    <x v="57"/>
    <x v="118"/>
    <s v="Charlie"/>
    <x v="1"/>
    <x v="489"/>
    <n v="27"/>
    <x v="2"/>
    <n v="3197.76"/>
    <n v="3572.61"/>
    <s v="Returning"/>
    <n v="0.08"/>
    <s v="Credit Card"/>
    <s v="Online"/>
    <x v="5"/>
  </r>
  <r>
    <x v="23"/>
    <x v="96"/>
    <s v="David"/>
    <x v="0"/>
    <x v="490"/>
    <n v="15"/>
    <x v="1"/>
    <n v="3841.05"/>
    <n v="4323.62"/>
    <s v="Returning"/>
    <n v="0.28999999999999998"/>
    <s v="Credit Card"/>
    <s v="Retail"/>
    <x v="11"/>
  </r>
  <r>
    <x v="66"/>
    <x v="198"/>
    <s v="Eve"/>
    <x v="3"/>
    <x v="491"/>
    <n v="8"/>
    <x v="2"/>
    <n v="442.11"/>
    <n v="803.87"/>
    <s v="New"/>
    <n v="0.18"/>
    <s v="Cash"/>
    <s v="Retail"/>
    <x v="14"/>
  </r>
  <r>
    <x v="93"/>
    <x v="14"/>
    <s v="Eve"/>
    <x v="1"/>
    <x v="492"/>
    <n v="7"/>
    <x v="1"/>
    <n v="282.94"/>
    <n v="779.32999999999902"/>
    <s v="Returning"/>
    <n v="0.28000000000000003"/>
    <s v="Credit Card"/>
    <s v="Online"/>
    <x v="8"/>
  </r>
  <r>
    <x v="4"/>
    <x v="264"/>
    <s v="Eve"/>
    <x v="0"/>
    <x v="493"/>
    <n v="47"/>
    <x v="3"/>
    <n v="146.27000000000001"/>
    <n v="498.46"/>
    <s v="New"/>
    <n v="0.06"/>
    <s v="Cash"/>
    <s v="Retail"/>
    <x v="7"/>
  </r>
  <r>
    <x v="18"/>
    <x v="72"/>
    <s v="Bob"/>
    <x v="1"/>
    <x v="494"/>
    <n v="46"/>
    <x v="3"/>
    <n v="984.53"/>
    <n v="1138.49"/>
    <s v="New"/>
    <n v="0.04"/>
    <s v="Bank Transfer"/>
    <s v="Online"/>
    <x v="1"/>
  </r>
  <r>
    <x v="53"/>
    <x v="265"/>
    <s v="Charlie"/>
    <x v="0"/>
    <x v="495"/>
    <n v="40"/>
    <x v="3"/>
    <n v="2101.3200000000002"/>
    <n v="2440.63"/>
    <s v="New"/>
    <n v="0.26"/>
    <s v="Bank Transfer"/>
    <s v="Retail"/>
    <x v="19"/>
  </r>
  <r>
    <x v="91"/>
    <x v="266"/>
    <s v="Eve"/>
    <x v="0"/>
    <x v="496"/>
    <n v="12"/>
    <x v="0"/>
    <n v="4682.34"/>
    <n v="5036.3999999999996"/>
    <s v="New"/>
    <n v="0.2"/>
    <s v="Bank Transfer"/>
    <s v="Retail"/>
    <x v="7"/>
  </r>
  <r>
    <x v="13"/>
    <x v="267"/>
    <s v="Eve"/>
    <x v="3"/>
    <x v="497"/>
    <n v="13"/>
    <x v="1"/>
    <n v="2312.4499999999998"/>
    <n v="2504.6"/>
    <s v="Returning"/>
    <n v="0.06"/>
    <s v="Bank Transfer"/>
    <s v="Online"/>
    <x v="14"/>
  </r>
  <r>
    <x v="1"/>
    <x v="51"/>
    <s v="Bob"/>
    <x v="1"/>
    <x v="498"/>
    <n v="43"/>
    <x v="3"/>
    <n v="1486.76"/>
    <n v="1505.44"/>
    <s v="New"/>
    <n v="0.08"/>
    <s v="Cash"/>
    <s v="Retail"/>
    <x v="1"/>
  </r>
  <r>
    <x v="95"/>
    <x v="6"/>
    <s v="Bob"/>
    <x v="3"/>
    <x v="499"/>
    <n v="17"/>
    <x v="1"/>
    <n v="2831.58"/>
    <n v="3186.15"/>
    <s v="New"/>
    <n v="0.24"/>
    <s v="Bank Transfer"/>
    <s v="Retail"/>
    <x v="12"/>
  </r>
  <r>
    <x v="21"/>
    <x v="268"/>
    <s v="Eve"/>
    <x v="0"/>
    <x v="500"/>
    <n v="17"/>
    <x v="2"/>
    <n v="604.08000000000004"/>
    <n v="624.71"/>
    <s v="New"/>
    <n v="0.14000000000000001"/>
    <s v="Bank Transfer"/>
    <s v="Retail"/>
    <x v="7"/>
  </r>
  <r>
    <x v="61"/>
    <x v="82"/>
    <s v="Alice"/>
    <x v="2"/>
    <x v="501"/>
    <n v="36"/>
    <x v="2"/>
    <n v="3067.05"/>
    <n v="3386.33"/>
    <s v="New"/>
    <n v="0.2"/>
    <s v="Bank Transfer"/>
    <s v="Online"/>
    <x v="9"/>
  </r>
  <r>
    <x v="93"/>
    <x v="172"/>
    <s v="Eve"/>
    <x v="1"/>
    <x v="502"/>
    <n v="21"/>
    <x v="3"/>
    <n v="2863.74"/>
    <n v="2953.91"/>
    <s v="New"/>
    <n v="0.1"/>
    <s v="Bank Transfer"/>
    <s v="Retail"/>
    <x v="8"/>
  </r>
  <r>
    <x v="32"/>
    <x v="128"/>
    <s v="Eve"/>
    <x v="2"/>
    <x v="503"/>
    <n v="8"/>
    <x v="1"/>
    <n v="3970.37"/>
    <n v="4257.5199999999904"/>
    <s v="New"/>
    <n v="0.11"/>
    <s v="Cash"/>
    <s v="Retail"/>
    <x v="6"/>
  </r>
  <r>
    <x v="74"/>
    <x v="269"/>
    <s v="Bob"/>
    <x v="1"/>
    <x v="504"/>
    <n v="5"/>
    <x v="3"/>
    <n v="4934.1000000000004"/>
    <n v="5191.0200000000004"/>
    <s v="New"/>
    <n v="0.3"/>
    <s v="Bank Transfer"/>
    <s v="Online"/>
    <x v="1"/>
  </r>
  <r>
    <x v="84"/>
    <x v="27"/>
    <s v="Bob"/>
    <x v="3"/>
    <x v="505"/>
    <n v="26"/>
    <x v="2"/>
    <n v="1291.82"/>
    <n v="1308.4399999999901"/>
    <s v="Returning"/>
    <n v="7.0000000000000007E-2"/>
    <s v="Credit Card"/>
    <s v="Online"/>
    <x v="12"/>
  </r>
  <r>
    <x v="63"/>
    <x v="131"/>
    <s v="Eve"/>
    <x v="3"/>
    <x v="506"/>
    <n v="16"/>
    <x v="3"/>
    <n v="2572.8000000000002"/>
    <n v="2760.6"/>
    <s v="Returning"/>
    <n v="0.15"/>
    <s v="Credit Card"/>
    <s v="Retail"/>
    <x v="14"/>
  </r>
  <r>
    <x v="47"/>
    <x v="267"/>
    <s v="Eve"/>
    <x v="3"/>
    <x v="507"/>
    <n v="36"/>
    <x v="1"/>
    <n v="4548.88"/>
    <n v="4853.41"/>
    <s v="Returning"/>
    <n v="0.25"/>
    <s v="Credit Card"/>
    <s v="Retail"/>
    <x v="14"/>
  </r>
  <r>
    <x v="28"/>
    <x v="24"/>
    <s v="Eve"/>
    <x v="3"/>
    <x v="508"/>
    <n v="28"/>
    <x v="2"/>
    <n v="3936.69"/>
    <n v="4362.51"/>
    <s v="Returning"/>
    <n v="7.0000000000000007E-2"/>
    <s v="Credit Card"/>
    <s v="Retail"/>
    <x v="14"/>
  </r>
  <r>
    <x v="91"/>
    <x v="270"/>
    <s v="Bob"/>
    <x v="3"/>
    <x v="509"/>
    <n v="29"/>
    <x v="0"/>
    <n v="2462.66"/>
    <n v="2908.0899999999901"/>
    <s v="New"/>
    <n v="0.12"/>
    <s v="Credit Card"/>
    <s v="Online"/>
    <x v="12"/>
  </r>
  <r>
    <x v="31"/>
    <x v="133"/>
    <s v="Eve"/>
    <x v="2"/>
    <x v="510"/>
    <n v="47"/>
    <x v="2"/>
    <n v="4729.59"/>
    <n v="4976.68"/>
    <s v="Returning"/>
    <n v="0.18"/>
    <s v="Credit Card"/>
    <s v="Retail"/>
    <x v="6"/>
  </r>
  <r>
    <x v="79"/>
    <x v="100"/>
    <s v="Eve"/>
    <x v="3"/>
    <x v="511"/>
    <n v="12"/>
    <x v="0"/>
    <n v="333.32"/>
    <n v="700.25"/>
    <s v="Returning"/>
    <n v="0.14000000000000001"/>
    <s v="Cash"/>
    <s v="Online"/>
    <x v="14"/>
  </r>
  <r>
    <x v="30"/>
    <x v="2"/>
    <s v="David"/>
    <x v="0"/>
    <x v="512"/>
    <n v="37"/>
    <x v="3"/>
    <n v="4658.4399999999996"/>
    <n v="4823.5"/>
    <s v="Returning"/>
    <n v="0.14000000000000001"/>
    <s v="Credit Card"/>
    <s v="Online"/>
    <x v="11"/>
  </r>
  <r>
    <x v="91"/>
    <x v="165"/>
    <s v="Alice"/>
    <x v="0"/>
    <x v="513"/>
    <n v="30"/>
    <x v="3"/>
    <n v="300.01"/>
    <n v="477.67999999999898"/>
    <s v="New"/>
    <n v="0.11"/>
    <s v="Bank Transfer"/>
    <s v="Retail"/>
    <x v="15"/>
  </r>
  <r>
    <x v="21"/>
    <x v="228"/>
    <s v="Charlie"/>
    <x v="2"/>
    <x v="514"/>
    <n v="23"/>
    <x v="1"/>
    <n v="2759.16"/>
    <n v="2864.45"/>
    <s v="Returning"/>
    <n v="0.18"/>
    <s v="Credit Card"/>
    <s v="Retail"/>
    <x v="10"/>
  </r>
  <r>
    <x v="93"/>
    <x v="186"/>
    <s v="Alice"/>
    <x v="1"/>
    <x v="515"/>
    <n v="16"/>
    <x v="0"/>
    <n v="4457.68"/>
    <n v="4743.03"/>
    <s v="Returning"/>
    <n v="0.19"/>
    <s v="Cash"/>
    <s v="Online"/>
    <x v="17"/>
  </r>
  <r>
    <x v="41"/>
    <x v="18"/>
    <s v="David"/>
    <x v="0"/>
    <x v="516"/>
    <n v="14"/>
    <x v="3"/>
    <n v="1350.47"/>
    <n v="1514.61"/>
    <s v="New"/>
    <n v="0.2"/>
    <s v="Credit Card"/>
    <s v="Retail"/>
    <x v="11"/>
  </r>
  <r>
    <x v="41"/>
    <x v="144"/>
    <s v="Charlie"/>
    <x v="1"/>
    <x v="517"/>
    <n v="10"/>
    <x v="0"/>
    <n v="2387.63"/>
    <n v="2438.9699999999998"/>
    <s v="Returning"/>
    <n v="0.02"/>
    <s v="Bank Transfer"/>
    <s v="Retail"/>
    <x v="5"/>
  </r>
  <r>
    <x v="57"/>
    <x v="170"/>
    <s v="Eve"/>
    <x v="2"/>
    <x v="518"/>
    <n v="7"/>
    <x v="3"/>
    <n v="1655.43"/>
    <n v="2001.08"/>
    <s v="New"/>
    <n v="0.19"/>
    <s v="Bank Transfer"/>
    <s v="Online"/>
    <x v="6"/>
  </r>
  <r>
    <x v="59"/>
    <x v="103"/>
    <s v="David"/>
    <x v="1"/>
    <x v="519"/>
    <n v="45"/>
    <x v="2"/>
    <n v="4763.1099999999997"/>
    <n v="5119.91"/>
    <s v="Returning"/>
    <n v="0.28999999999999998"/>
    <s v="Cash"/>
    <s v="Retail"/>
    <x v="13"/>
  </r>
  <r>
    <x v="36"/>
    <x v="245"/>
    <s v="Eve"/>
    <x v="1"/>
    <x v="520"/>
    <n v="37"/>
    <x v="3"/>
    <n v="4127.05"/>
    <n v="4313.45"/>
    <s v="New"/>
    <n v="0.16"/>
    <s v="Cash"/>
    <s v="Online"/>
    <x v="8"/>
  </r>
  <r>
    <x v="10"/>
    <x v="114"/>
    <s v="Bob"/>
    <x v="1"/>
    <x v="521"/>
    <n v="29"/>
    <x v="1"/>
    <n v="3559.56"/>
    <n v="3607.15"/>
    <s v="Returning"/>
    <n v="0.21"/>
    <s v="Cash"/>
    <s v="Retail"/>
    <x v="1"/>
  </r>
  <r>
    <x v="20"/>
    <x v="229"/>
    <s v="David"/>
    <x v="1"/>
    <x v="522"/>
    <n v="3"/>
    <x v="2"/>
    <n v="2958.75"/>
    <n v="3177.64"/>
    <s v="Returning"/>
    <n v="0.17"/>
    <s v="Cash"/>
    <s v="Online"/>
    <x v="13"/>
  </r>
  <r>
    <x v="79"/>
    <x v="13"/>
    <s v="Bob"/>
    <x v="2"/>
    <x v="523"/>
    <n v="15"/>
    <x v="1"/>
    <n v="4111.93"/>
    <n v="4338.67"/>
    <s v="Returning"/>
    <n v="0.26"/>
    <s v="Credit Card"/>
    <s v="Online"/>
    <x v="3"/>
  </r>
  <r>
    <x v="71"/>
    <x v="45"/>
    <s v="David"/>
    <x v="0"/>
    <x v="524"/>
    <n v="36"/>
    <x v="2"/>
    <n v="1991.72"/>
    <n v="2329.37"/>
    <s v="New"/>
    <n v="0.28000000000000003"/>
    <s v="Credit Card"/>
    <s v="Retail"/>
    <x v="11"/>
  </r>
  <r>
    <x v="99"/>
    <x v="57"/>
    <s v="David"/>
    <x v="3"/>
    <x v="525"/>
    <n v="47"/>
    <x v="0"/>
    <n v="2265.38"/>
    <n v="2429.9299999999998"/>
    <s v="Returning"/>
    <n v="0.06"/>
    <s v="Bank Transfer"/>
    <s v="Online"/>
    <x v="16"/>
  </r>
  <r>
    <x v="91"/>
    <x v="108"/>
    <s v="Bob"/>
    <x v="1"/>
    <x v="526"/>
    <n v="46"/>
    <x v="1"/>
    <n v="3663.51"/>
    <n v="4007.98"/>
    <s v="New"/>
    <n v="0.13"/>
    <s v="Cash"/>
    <s v="Online"/>
    <x v="1"/>
  </r>
  <r>
    <x v="10"/>
    <x v="199"/>
    <s v="Charlie"/>
    <x v="0"/>
    <x v="527"/>
    <n v="19"/>
    <x v="3"/>
    <n v="1820.89"/>
    <n v="2257.92"/>
    <s v="New"/>
    <n v="0.12"/>
    <s v="Cash"/>
    <s v="Retail"/>
    <x v="19"/>
  </r>
  <r>
    <x v="54"/>
    <x v="271"/>
    <s v="Alice"/>
    <x v="0"/>
    <x v="528"/>
    <n v="13"/>
    <x v="0"/>
    <n v="366.31"/>
    <n v="492.68"/>
    <s v="New"/>
    <n v="0.12"/>
    <s v="Credit Card"/>
    <s v="Retail"/>
    <x v="15"/>
  </r>
  <r>
    <x v="0"/>
    <x v="272"/>
    <s v="Eve"/>
    <x v="2"/>
    <x v="529"/>
    <n v="42"/>
    <x v="3"/>
    <n v="417.96"/>
    <n v="907.63"/>
    <s v="New"/>
    <n v="0.04"/>
    <s v="Cash"/>
    <s v="Retail"/>
    <x v="6"/>
  </r>
  <r>
    <x v="56"/>
    <x v="9"/>
    <s v="David"/>
    <x v="0"/>
    <x v="530"/>
    <n v="21"/>
    <x v="2"/>
    <n v="621.04999999999995"/>
    <n v="820.36999999999898"/>
    <s v="Returning"/>
    <n v="0.24"/>
    <s v="Bank Transfer"/>
    <s v="Online"/>
    <x v="11"/>
  </r>
  <r>
    <x v="99"/>
    <x v="126"/>
    <s v="Eve"/>
    <x v="2"/>
    <x v="531"/>
    <n v="37"/>
    <x v="2"/>
    <n v="4354.92"/>
    <n v="4495.88"/>
    <s v="Returning"/>
    <n v="0.01"/>
    <s v="Bank Transfer"/>
    <s v="Online"/>
    <x v="6"/>
  </r>
  <r>
    <x v="88"/>
    <x v="259"/>
    <s v="Bob"/>
    <x v="1"/>
    <x v="532"/>
    <n v="27"/>
    <x v="3"/>
    <n v="2387.52"/>
    <n v="2604.06"/>
    <s v="Returning"/>
    <n v="0.16"/>
    <s v="Cash"/>
    <s v="Online"/>
    <x v="1"/>
  </r>
  <r>
    <x v="22"/>
    <x v="93"/>
    <s v="Eve"/>
    <x v="1"/>
    <x v="533"/>
    <n v="29"/>
    <x v="3"/>
    <n v="3578.77"/>
    <n v="3635.02"/>
    <s v="New"/>
    <n v="0.2"/>
    <s v="Bank Transfer"/>
    <s v="Retail"/>
    <x v="8"/>
  </r>
  <r>
    <x v="78"/>
    <x v="38"/>
    <s v="Bob"/>
    <x v="3"/>
    <x v="534"/>
    <n v="20"/>
    <x v="0"/>
    <n v="1994.9"/>
    <n v="2066.5"/>
    <s v="Returning"/>
    <n v="0.06"/>
    <s v="Bank Transfer"/>
    <s v="Online"/>
    <x v="12"/>
  </r>
  <r>
    <x v="66"/>
    <x v="167"/>
    <s v="Eve"/>
    <x v="3"/>
    <x v="535"/>
    <n v="25"/>
    <x v="3"/>
    <n v="1330.62"/>
    <n v="1543.6899999999901"/>
    <s v="New"/>
    <n v="0.27"/>
    <s v="Credit Card"/>
    <s v="Online"/>
    <x v="14"/>
  </r>
  <r>
    <x v="91"/>
    <x v="212"/>
    <s v="Alice"/>
    <x v="3"/>
    <x v="536"/>
    <n v="6"/>
    <x v="1"/>
    <n v="1768.6"/>
    <n v="2152.1999999999998"/>
    <s v="New"/>
    <n v="0.25"/>
    <s v="Bank Transfer"/>
    <s v="Retail"/>
    <x v="18"/>
  </r>
  <r>
    <x v="38"/>
    <x v="28"/>
    <s v="Alice"/>
    <x v="0"/>
    <x v="537"/>
    <n v="36"/>
    <x v="1"/>
    <n v="3981.2"/>
    <n v="4432.3499999999904"/>
    <s v="New"/>
    <n v="0.14000000000000001"/>
    <s v="Cash"/>
    <s v="Online"/>
    <x v="15"/>
  </r>
  <r>
    <x v="93"/>
    <x v="273"/>
    <s v="Alice"/>
    <x v="1"/>
    <x v="538"/>
    <n v="2"/>
    <x v="3"/>
    <n v="3144.82"/>
    <n v="3480.58"/>
    <s v="Returning"/>
    <n v="0.12"/>
    <s v="Cash"/>
    <s v="Retail"/>
    <x v="17"/>
  </r>
  <r>
    <x v="11"/>
    <x v="90"/>
    <s v="Alice"/>
    <x v="2"/>
    <x v="539"/>
    <n v="22"/>
    <x v="1"/>
    <n v="4691.32"/>
    <n v="4752.88"/>
    <s v="Returning"/>
    <n v="7.0000000000000007E-2"/>
    <s v="Bank Transfer"/>
    <s v="Retail"/>
    <x v="9"/>
  </r>
  <r>
    <x v="29"/>
    <x v="12"/>
    <s v="Alice"/>
    <x v="3"/>
    <x v="540"/>
    <n v="32"/>
    <x v="3"/>
    <n v="3414.54"/>
    <n v="3753.83"/>
    <s v="New"/>
    <n v="0.22"/>
    <s v="Cash"/>
    <s v="Retail"/>
    <x v="18"/>
  </r>
  <r>
    <x v="15"/>
    <x v="186"/>
    <s v="Alice"/>
    <x v="2"/>
    <x v="541"/>
    <n v="16"/>
    <x v="0"/>
    <n v="2872.4"/>
    <n v="3193.76"/>
    <s v="Returning"/>
    <n v="0.04"/>
    <s v="Credit Card"/>
    <s v="Online"/>
    <x v="9"/>
  </r>
  <r>
    <x v="28"/>
    <x v="218"/>
    <s v="Bob"/>
    <x v="2"/>
    <x v="542"/>
    <n v="18"/>
    <x v="1"/>
    <n v="3070.47"/>
    <n v="3475.29"/>
    <s v="Returning"/>
    <n v="0.2"/>
    <s v="Bank Transfer"/>
    <s v="Online"/>
    <x v="3"/>
  </r>
  <r>
    <x v="82"/>
    <x v="34"/>
    <s v="David"/>
    <x v="3"/>
    <x v="543"/>
    <n v="5"/>
    <x v="1"/>
    <n v="4714.74"/>
    <n v="5129.1099999999997"/>
    <s v="New"/>
    <n v="0.25"/>
    <s v="Bank Transfer"/>
    <s v="Online"/>
    <x v="16"/>
  </r>
  <r>
    <x v="25"/>
    <x v="274"/>
    <s v="Eve"/>
    <x v="1"/>
    <x v="544"/>
    <n v="36"/>
    <x v="3"/>
    <n v="3951.59"/>
    <n v="4387.01"/>
    <s v="New"/>
    <n v="7.0000000000000007E-2"/>
    <s v="Bank Transfer"/>
    <s v="Retail"/>
    <x v="8"/>
  </r>
  <r>
    <x v="42"/>
    <x v="80"/>
    <s v="Alice"/>
    <x v="3"/>
    <x v="545"/>
    <n v="30"/>
    <x v="1"/>
    <n v="169"/>
    <n v="381.91999999999899"/>
    <s v="Returning"/>
    <n v="0.26"/>
    <s v="Cash"/>
    <s v="Retail"/>
    <x v="18"/>
  </r>
  <r>
    <x v="11"/>
    <x v="107"/>
    <s v="Bob"/>
    <x v="2"/>
    <x v="546"/>
    <n v="45"/>
    <x v="2"/>
    <n v="2693.99"/>
    <n v="3045.9399999999901"/>
    <s v="New"/>
    <n v="0.01"/>
    <s v="Cash"/>
    <s v="Retail"/>
    <x v="3"/>
  </r>
  <r>
    <x v="70"/>
    <x v="130"/>
    <s v="Bob"/>
    <x v="3"/>
    <x v="547"/>
    <n v="19"/>
    <x v="0"/>
    <n v="3457.28"/>
    <n v="3598.72"/>
    <s v="New"/>
    <n v="0.27"/>
    <s v="Bank Transfer"/>
    <s v="Online"/>
    <x v="12"/>
  </r>
  <r>
    <x v="50"/>
    <x v="26"/>
    <s v="Bob"/>
    <x v="2"/>
    <x v="548"/>
    <n v="23"/>
    <x v="0"/>
    <n v="3756.06"/>
    <n v="4255.7299999999996"/>
    <s v="Returning"/>
    <n v="0.04"/>
    <s v="Cash"/>
    <s v="Online"/>
    <x v="3"/>
  </r>
  <r>
    <x v="46"/>
    <x v="264"/>
    <s v="David"/>
    <x v="2"/>
    <x v="549"/>
    <n v="34"/>
    <x v="1"/>
    <n v="1105.05"/>
    <n v="1200.96"/>
    <s v="Returning"/>
    <n v="0.19"/>
    <s v="Cash"/>
    <s v="Online"/>
    <x v="2"/>
  </r>
  <r>
    <x v="20"/>
    <x v="217"/>
    <s v="Eve"/>
    <x v="3"/>
    <x v="550"/>
    <n v="13"/>
    <x v="1"/>
    <n v="4342.53"/>
    <n v="4357.49"/>
    <s v="New"/>
    <n v="0.08"/>
    <s v="Bank Transfer"/>
    <s v="Online"/>
    <x v="14"/>
  </r>
  <r>
    <x v="20"/>
    <x v="275"/>
    <s v="David"/>
    <x v="0"/>
    <x v="551"/>
    <n v="43"/>
    <x v="2"/>
    <n v="4781.42"/>
    <n v="4864.34"/>
    <s v="Returning"/>
    <n v="0.25"/>
    <s v="Bank Transfer"/>
    <s v="Online"/>
    <x v="11"/>
  </r>
  <r>
    <x v="4"/>
    <x v="238"/>
    <s v="Charlie"/>
    <x v="3"/>
    <x v="552"/>
    <n v="29"/>
    <x v="2"/>
    <n v="1221.74"/>
    <n v="1611.92"/>
    <s v="New"/>
    <n v="0.15"/>
    <s v="Cash"/>
    <s v="Retail"/>
    <x v="4"/>
  </r>
  <r>
    <x v="32"/>
    <x v="198"/>
    <s v="Bob"/>
    <x v="0"/>
    <x v="553"/>
    <n v="36"/>
    <x v="1"/>
    <n v="4418.95"/>
    <n v="4647.87"/>
    <s v="New"/>
    <n v="0.04"/>
    <s v="Bank Transfer"/>
    <s v="Online"/>
    <x v="0"/>
  </r>
  <r>
    <x v="80"/>
    <x v="62"/>
    <s v="Charlie"/>
    <x v="2"/>
    <x v="554"/>
    <n v="22"/>
    <x v="1"/>
    <n v="530.04"/>
    <n v="759.31999999999903"/>
    <s v="Returning"/>
    <n v="0.17"/>
    <s v="Bank Transfer"/>
    <s v="Retail"/>
    <x v="10"/>
  </r>
  <r>
    <x v="70"/>
    <x v="151"/>
    <s v="Alice"/>
    <x v="2"/>
    <x v="555"/>
    <n v="47"/>
    <x v="2"/>
    <n v="325.75"/>
    <n v="803.71"/>
    <s v="New"/>
    <n v="0.12"/>
    <s v="Bank Transfer"/>
    <s v="Retail"/>
    <x v="9"/>
  </r>
  <r>
    <x v="95"/>
    <x v="276"/>
    <s v="Alice"/>
    <x v="0"/>
    <x v="556"/>
    <n v="36"/>
    <x v="3"/>
    <n v="689.66"/>
    <n v="1150.28"/>
    <s v="New"/>
    <n v="0.2"/>
    <s v="Bank Transfer"/>
    <s v="Online"/>
    <x v="15"/>
  </r>
  <r>
    <x v="65"/>
    <x v="174"/>
    <s v="David"/>
    <x v="2"/>
    <x v="557"/>
    <n v="9"/>
    <x v="2"/>
    <n v="335.82"/>
    <n v="498.31"/>
    <s v="New"/>
    <n v="0.26"/>
    <s v="Cash"/>
    <s v="Retail"/>
    <x v="2"/>
  </r>
  <r>
    <x v="20"/>
    <x v="118"/>
    <s v="Eve"/>
    <x v="0"/>
    <x v="558"/>
    <n v="39"/>
    <x v="3"/>
    <n v="4232.8100000000004"/>
    <n v="4345.25"/>
    <s v="Returning"/>
    <n v="0.12"/>
    <s v="Bank Transfer"/>
    <s v="Online"/>
    <x v="7"/>
  </r>
  <r>
    <x v="58"/>
    <x v="120"/>
    <s v="Charlie"/>
    <x v="0"/>
    <x v="559"/>
    <n v="19"/>
    <x v="0"/>
    <n v="342.3"/>
    <n v="768.06"/>
    <s v="Returning"/>
    <n v="0.09"/>
    <s v="Credit Card"/>
    <s v="Online"/>
    <x v="19"/>
  </r>
  <r>
    <x v="55"/>
    <x v="21"/>
    <s v="Eve"/>
    <x v="2"/>
    <x v="560"/>
    <n v="38"/>
    <x v="0"/>
    <n v="1394.74"/>
    <n v="1848.69"/>
    <s v="Returning"/>
    <n v="0"/>
    <s v="Bank Transfer"/>
    <s v="Retail"/>
    <x v="6"/>
  </r>
  <r>
    <x v="80"/>
    <x v="89"/>
    <s v="David"/>
    <x v="1"/>
    <x v="561"/>
    <n v="6"/>
    <x v="2"/>
    <n v="563.59"/>
    <n v="838.97"/>
    <s v="New"/>
    <n v="0.17"/>
    <s v="Credit Card"/>
    <s v="Online"/>
    <x v="13"/>
  </r>
  <r>
    <x v="44"/>
    <x v="150"/>
    <s v="Alice"/>
    <x v="0"/>
    <x v="562"/>
    <n v="47"/>
    <x v="3"/>
    <n v="1512.34"/>
    <n v="1830.76"/>
    <s v="New"/>
    <n v="0.12"/>
    <s v="Bank Transfer"/>
    <s v="Online"/>
    <x v="15"/>
  </r>
  <r>
    <x v="63"/>
    <x v="67"/>
    <s v="Eve"/>
    <x v="3"/>
    <x v="563"/>
    <n v="15"/>
    <x v="2"/>
    <n v="498.27"/>
    <n v="634.16"/>
    <s v="Returning"/>
    <n v="0.11"/>
    <s v="Credit Card"/>
    <s v="Retail"/>
    <x v="14"/>
  </r>
  <r>
    <x v="81"/>
    <x v="271"/>
    <s v="Eve"/>
    <x v="3"/>
    <x v="564"/>
    <n v="20"/>
    <x v="2"/>
    <n v="3356.62"/>
    <n v="3759.0099999999902"/>
    <s v="Returning"/>
    <n v="0.05"/>
    <s v="Credit Card"/>
    <s v="Retail"/>
    <x v="14"/>
  </r>
  <r>
    <x v="70"/>
    <x v="264"/>
    <s v="Alice"/>
    <x v="2"/>
    <x v="565"/>
    <n v="9"/>
    <x v="3"/>
    <n v="709.97"/>
    <n v="1029.71"/>
    <s v="Returning"/>
    <n v="0.13"/>
    <s v="Bank Transfer"/>
    <s v="Retail"/>
    <x v="9"/>
  </r>
  <r>
    <x v="56"/>
    <x v="27"/>
    <s v="Charlie"/>
    <x v="1"/>
    <x v="566"/>
    <n v="32"/>
    <x v="2"/>
    <n v="4266.6400000000003"/>
    <n v="4523.3599999999997"/>
    <s v="New"/>
    <n v="0.3"/>
    <s v="Bank Transfer"/>
    <s v="Retail"/>
    <x v="5"/>
  </r>
  <r>
    <x v="98"/>
    <x v="257"/>
    <s v="Alice"/>
    <x v="2"/>
    <x v="567"/>
    <n v="4"/>
    <x v="0"/>
    <n v="4095.1"/>
    <n v="4134.55"/>
    <s v="Returning"/>
    <n v="0.09"/>
    <s v="Bank Transfer"/>
    <s v="Retail"/>
    <x v="9"/>
  </r>
  <r>
    <x v="15"/>
    <x v="277"/>
    <s v="Eve"/>
    <x v="1"/>
    <x v="568"/>
    <n v="18"/>
    <x v="1"/>
    <n v="117.63"/>
    <n v="576.44000000000005"/>
    <s v="New"/>
    <n v="0.18"/>
    <s v="Credit Card"/>
    <s v="Retail"/>
    <x v="8"/>
  </r>
  <r>
    <x v="46"/>
    <x v="0"/>
    <s v="Charlie"/>
    <x v="0"/>
    <x v="569"/>
    <n v="5"/>
    <x v="1"/>
    <n v="4483.8500000000004"/>
    <n v="4795.42"/>
    <s v="Returning"/>
    <n v="0.23"/>
    <s v="Cash"/>
    <s v="Online"/>
    <x v="19"/>
  </r>
  <r>
    <x v="7"/>
    <x v="175"/>
    <s v="Charlie"/>
    <x v="0"/>
    <x v="570"/>
    <n v="20"/>
    <x v="2"/>
    <n v="193.27"/>
    <n v="297.69"/>
    <s v="New"/>
    <n v="0.22"/>
    <s v="Cash"/>
    <s v="Online"/>
    <x v="19"/>
  </r>
  <r>
    <x v="48"/>
    <x v="29"/>
    <s v="Alice"/>
    <x v="0"/>
    <x v="571"/>
    <n v="23"/>
    <x v="3"/>
    <n v="1236.25"/>
    <n v="1543.38"/>
    <s v="New"/>
    <n v="0.1"/>
    <s v="Bank Transfer"/>
    <s v="Online"/>
    <x v="15"/>
  </r>
  <r>
    <x v="41"/>
    <x v="278"/>
    <s v="Eve"/>
    <x v="0"/>
    <x v="572"/>
    <n v="11"/>
    <x v="3"/>
    <n v="210.33"/>
    <n v="552.29"/>
    <s v="Returning"/>
    <n v="0.18"/>
    <s v="Cash"/>
    <s v="Retail"/>
    <x v="7"/>
  </r>
  <r>
    <x v="45"/>
    <x v="149"/>
    <s v="David"/>
    <x v="3"/>
    <x v="573"/>
    <n v="37"/>
    <x v="0"/>
    <n v="1712.43"/>
    <n v="1980.06"/>
    <s v="New"/>
    <n v="0.26"/>
    <s v="Cash"/>
    <s v="Online"/>
    <x v="16"/>
  </r>
  <r>
    <x v="1"/>
    <x v="279"/>
    <s v="Eve"/>
    <x v="3"/>
    <x v="574"/>
    <n v="22"/>
    <x v="3"/>
    <n v="2593.64"/>
    <n v="2955.5099999999902"/>
    <s v="Returning"/>
    <n v="0"/>
    <s v="Bank Transfer"/>
    <s v="Retail"/>
    <x v="14"/>
  </r>
  <r>
    <x v="61"/>
    <x v="209"/>
    <s v="Bob"/>
    <x v="2"/>
    <x v="575"/>
    <n v="4"/>
    <x v="3"/>
    <n v="3993.39"/>
    <n v="4288.3"/>
    <s v="New"/>
    <n v="0.13"/>
    <s v="Credit Card"/>
    <s v="Online"/>
    <x v="3"/>
  </r>
  <r>
    <x v="55"/>
    <x v="257"/>
    <s v="David"/>
    <x v="1"/>
    <x v="576"/>
    <n v="29"/>
    <x v="0"/>
    <n v="1723.01"/>
    <n v="2197.42"/>
    <s v="New"/>
    <n v="7.0000000000000007E-2"/>
    <s v="Bank Transfer"/>
    <s v="Retail"/>
    <x v="13"/>
  </r>
  <r>
    <x v="41"/>
    <x v="118"/>
    <s v="Charlie"/>
    <x v="0"/>
    <x v="577"/>
    <n v="44"/>
    <x v="2"/>
    <n v="3542.18"/>
    <n v="3578.49"/>
    <s v="Returning"/>
    <n v="0.12"/>
    <s v="Cash"/>
    <s v="Online"/>
    <x v="19"/>
  </r>
  <r>
    <x v="54"/>
    <x v="146"/>
    <s v="David"/>
    <x v="0"/>
    <x v="578"/>
    <n v="34"/>
    <x v="1"/>
    <n v="978.15"/>
    <n v="1040.21"/>
    <s v="New"/>
    <n v="0.12"/>
    <s v="Credit Card"/>
    <s v="Retail"/>
    <x v="11"/>
  </r>
  <r>
    <x v="34"/>
    <x v="157"/>
    <s v="Charlie"/>
    <x v="1"/>
    <x v="579"/>
    <n v="13"/>
    <x v="0"/>
    <n v="3765.46"/>
    <n v="3860.56"/>
    <s v="Returning"/>
    <n v="0.22"/>
    <s v="Cash"/>
    <s v="Retail"/>
    <x v="5"/>
  </r>
  <r>
    <x v="89"/>
    <x v="24"/>
    <s v="Charlie"/>
    <x v="1"/>
    <x v="580"/>
    <n v="42"/>
    <x v="2"/>
    <n v="1218.18"/>
    <n v="1566.36"/>
    <s v="Returning"/>
    <n v="0.03"/>
    <s v="Credit Card"/>
    <s v="Retail"/>
    <x v="5"/>
  </r>
  <r>
    <x v="22"/>
    <x v="280"/>
    <s v="David"/>
    <x v="2"/>
    <x v="581"/>
    <n v="9"/>
    <x v="0"/>
    <n v="760.55"/>
    <n v="1086.8899999999901"/>
    <s v="Returning"/>
    <n v="0.15"/>
    <s v="Cash"/>
    <s v="Retail"/>
    <x v="2"/>
  </r>
  <r>
    <x v="8"/>
    <x v="3"/>
    <s v="Charlie"/>
    <x v="1"/>
    <x v="582"/>
    <n v="42"/>
    <x v="2"/>
    <n v="967.77"/>
    <n v="1414.88"/>
    <s v="New"/>
    <n v="0.17"/>
    <s v="Bank Transfer"/>
    <s v="Online"/>
    <x v="5"/>
  </r>
  <r>
    <x v="63"/>
    <x v="281"/>
    <s v="Charlie"/>
    <x v="0"/>
    <x v="583"/>
    <n v="31"/>
    <x v="0"/>
    <n v="951.21"/>
    <n v="1320.32"/>
    <s v="New"/>
    <n v="0.15"/>
    <s v="Cash"/>
    <s v="Online"/>
    <x v="19"/>
  </r>
  <r>
    <x v="49"/>
    <x v="282"/>
    <s v="Bob"/>
    <x v="0"/>
    <x v="17"/>
    <n v="7"/>
    <x v="2"/>
    <n v="2588.67"/>
    <n v="2847.76"/>
    <s v="New"/>
    <n v="0.22"/>
    <s v="Cash"/>
    <s v="Retail"/>
    <x v="0"/>
  </r>
  <r>
    <x v="23"/>
    <x v="3"/>
    <s v="Eve"/>
    <x v="0"/>
    <x v="584"/>
    <n v="4"/>
    <x v="0"/>
    <n v="4231.75"/>
    <n v="4727.75"/>
    <s v="Returning"/>
    <n v="0.12"/>
    <s v="Credit Card"/>
    <s v="Retail"/>
    <x v="7"/>
  </r>
  <r>
    <x v="5"/>
    <x v="208"/>
    <s v="Eve"/>
    <x v="0"/>
    <x v="585"/>
    <n v="19"/>
    <x v="2"/>
    <n v="444.05"/>
    <n v="584.44000000000005"/>
    <s v="Returning"/>
    <n v="0.28000000000000003"/>
    <s v="Cash"/>
    <s v="Retail"/>
    <x v="7"/>
  </r>
  <r>
    <x v="49"/>
    <x v="199"/>
    <s v="Bob"/>
    <x v="0"/>
    <x v="586"/>
    <n v="42"/>
    <x v="0"/>
    <n v="3549.43"/>
    <n v="3967.6899999999901"/>
    <s v="New"/>
    <n v="0.14000000000000001"/>
    <s v="Bank Transfer"/>
    <s v="Online"/>
    <x v="0"/>
  </r>
  <r>
    <x v="99"/>
    <x v="197"/>
    <s v="David"/>
    <x v="2"/>
    <x v="587"/>
    <n v="30"/>
    <x v="1"/>
    <n v="3289.01"/>
    <n v="3508.14"/>
    <s v="New"/>
    <n v="0.17"/>
    <s v="Bank Transfer"/>
    <s v="Retail"/>
    <x v="2"/>
  </r>
  <r>
    <x v="35"/>
    <x v="283"/>
    <s v="Alice"/>
    <x v="0"/>
    <x v="588"/>
    <n v="31"/>
    <x v="1"/>
    <n v="4368.97"/>
    <n v="4696.8500000000004"/>
    <s v="Returning"/>
    <n v="0.25"/>
    <s v="Bank Transfer"/>
    <s v="Retail"/>
    <x v="15"/>
  </r>
  <r>
    <x v="11"/>
    <x v="284"/>
    <s v="Alice"/>
    <x v="2"/>
    <x v="589"/>
    <n v="35"/>
    <x v="3"/>
    <n v="1258.53"/>
    <n v="1624.8899999999901"/>
    <s v="New"/>
    <n v="0.08"/>
    <s v="Credit Card"/>
    <s v="Online"/>
    <x v="9"/>
  </r>
  <r>
    <x v="18"/>
    <x v="177"/>
    <s v="Alice"/>
    <x v="0"/>
    <x v="590"/>
    <n v="21"/>
    <x v="2"/>
    <n v="2278.04"/>
    <n v="2598.58"/>
    <s v="Returning"/>
    <n v="0.02"/>
    <s v="Credit Card"/>
    <s v="Retail"/>
    <x v="15"/>
  </r>
  <r>
    <x v="73"/>
    <x v="285"/>
    <s v="Bob"/>
    <x v="3"/>
    <x v="591"/>
    <n v="31"/>
    <x v="0"/>
    <n v="4632.8500000000004"/>
    <n v="4711.7"/>
    <s v="New"/>
    <n v="0.21"/>
    <s v="Cash"/>
    <s v="Retail"/>
    <x v="12"/>
  </r>
  <r>
    <x v="24"/>
    <x v="60"/>
    <s v="Bob"/>
    <x v="3"/>
    <x v="592"/>
    <n v="19"/>
    <x v="2"/>
    <n v="3316.97"/>
    <n v="3544.02"/>
    <s v="Returning"/>
    <n v="0.14000000000000001"/>
    <s v="Cash"/>
    <s v="Online"/>
    <x v="12"/>
  </r>
  <r>
    <x v="73"/>
    <x v="189"/>
    <s v="Charlie"/>
    <x v="3"/>
    <x v="593"/>
    <n v="31"/>
    <x v="1"/>
    <n v="1974.4"/>
    <n v="2259.5"/>
    <s v="New"/>
    <n v="0.27"/>
    <s v="Cash"/>
    <s v="Retail"/>
    <x v="4"/>
  </r>
  <r>
    <x v="49"/>
    <x v="50"/>
    <s v="Alice"/>
    <x v="3"/>
    <x v="594"/>
    <n v="32"/>
    <x v="2"/>
    <n v="700.49"/>
    <n v="1126.52"/>
    <s v="New"/>
    <n v="0.28999999999999998"/>
    <s v="Credit Card"/>
    <s v="Retail"/>
    <x v="18"/>
  </r>
  <r>
    <x v="60"/>
    <x v="239"/>
    <s v="David"/>
    <x v="2"/>
    <x v="595"/>
    <n v="2"/>
    <x v="0"/>
    <n v="1349.3"/>
    <n v="1576.69"/>
    <s v="Returning"/>
    <n v="0.12"/>
    <s v="Credit Card"/>
    <s v="Online"/>
    <x v="2"/>
  </r>
  <r>
    <x v="78"/>
    <x v="62"/>
    <s v="David"/>
    <x v="2"/>
    <x v="596"/>
    <n v="10"/>
    <x v="2"/>
    <n v="2927.02"/>
    <n v="3387.21"/>
    <s v="Returning"/>
    <n v="0.12"/>
    <s v="Cash"/>
    <s v="Retail"/>
    <x v="2"/>
  </r>
  <r>
    <x v="11"/>
    <x v="115"/>
    <s v="Alice"/>
    <x v="1"/>
    <x v="597"/>
    <n v="2"/>
    <x v="0"/>
    <n v="3604.93"/>
    <n v="3830.71"/>
    <s v="Returning"/>
    <n v="0.12"/>
    <s v="Credit Card"/>
    <s v="Online"/>
    <x v="17"/>
  </r>
  <r>
    <x v="71"/>
    <x v="251"/>
    <s v="Alice"/>
    <x v="0"/>
    <x v="598"/>
    <n v="2"/>
    <x v="1"/>
    <n v="665.89"/>
    <n v="944.79"/>
    <s v="New"/>
    <n v="0.1"/>
    <s v="Credit Card"/>
    <s v="Retail"/>
    <x v="15"/>
  </r>
  <r>
    <x v="30"/>
    <x v="260"/>
    <s v="Alice"/>
    <x v="3"/>
    <x v="599"/>
    <n v="24"/>
    <x v="1"/>
    <n v="3018.01"/>
    <n v="3418.19"/>
    <s v="Returning"/>
    <n v="0.23"/>
    <s v="Bank Transfer"/>
    <s v="Retail"/>
    <x v="18"/>
  </r>
  <r>
    <x v="78"/>
    <x v="82"/>
    <s v="Bob"/>
    <x v="2"/>
    <x v="600"/>
    <n v="17"/>
    <x v="1"/>
    <n v="2774.24"/>
    <n v="3069.9399999999901"/>
    <s v="Returning"/>
    <n v="0.23"/>
    <s v="Bank Transfer"/>
    <s v="Retail"/>
    <x v="3"/>
  </r>
  <r>
    <x v="72"/>
    <x v="176"/>
    <s v="Bob"/>
    <x v="0"/>
    <x v="601"/>
    <n v="32"/>
    <x v="3"/>
    <n v="2594.08"/>
    <n v="3074.59"/>
    <s v="New"/>
    <n v="0.14000000000000001"/>
    <s v="Cash"/>
    <s v="Retail"/>
    <x v="0"/>
  </r>
  <r>
    <x v="70"/>
    <x v="56"/>
    <s v="Bob"/>
    <x v="0"/>
    <x v="602"/>
    <n v="16"/>
    <x v="1"/>
    <n v="3466.11"/>
    <n v="3799.67"/>
    <s v="Returning"/>
    <n v="0.01"/>
    <s v="Cash"/>
    <s v="Retail"/>
    <x v="0"/>
  </r>
  <r>
    <x v="33"/>
    <x v="255"/>
    <s v="Eve"/>
    <x v="2"/>
    <x v="603"/>
    <n v="16"/>
    <x v="2"/>
    <n v="4195.38"/>
    <n v="4461.51"/>
    <s v="Returning"/>
    <n v="0.09"/>
    <s v="Bank Transfer"/>
    <s v="Online"/>
    <x v="6"/>
  </r>
  <r>
    <x v="81"/>
    <x v="62"/>
    <s v="David"/>
    <x v="3"/>
    <x v="604"/>
    <n v="46"/>
    <x v="3"/>
    <n v="1648.8"/>
    <n v="1670.36"/>
    <s v="Returning"/>
    <n v="0.09"/>
    <s v="Credit Card"/>
    <s v="Retail"/>
    <x v="16"/>
  </r>
  <r>
    <x v="71"/>
    <x v="263"/>
    <s v="David"/>
    <x v="1"/>
    <x v="605"/>
    <n v="39"/>
    <x v="1"/>
    <n v="4450.6099999999997"/>
    <n v="4663.3399999999901"/>
    <s v="New"/>
    <n v="0.24"/>
    <s v="Cash"/>
    <s v="Retail"/>
    <x v="13"/>
  </r>
  <r>
    <x v="23"/>
    <x v="18"/>
    <s v="Charlie"/>
    <x v="0"/>
    <x v="606"/>
    <n v="31"/>
    <x v="2"/>
    <n v="845.14"/>
    <n v="1001.77"/>
    <s v="New"/>
    <n v="0.03"/>
    <s v="Cash"/>
    <s v="Online"/>
    <x v="19"/>
  </r>
  <r>
    <x v="73"/>
    <x v="105"/>
    <s v="Bob"/>
    <x v="1"/>
    <x v="607"/>
    <n v="43"/>
    <x v="2"/>
    <n v="906.47"/>
    <n v="1283.04"/>
    <s v="New"/>
    <n v="0.24"/>
    <s v="Cash"/>
    <s v="Online"/>
    <x v="1"/>
  </r>
  <r>
    <x v="16"/>
    <x v="78"/>
    <s v="Eve"/>
    <x v="3"/>
    <x v="608"/>
    <n v="24"/>
    <x v="2"/>
    <n v="1370.52"/>
    <n v="1482.58"/>
    <s v="Returning"/>
    <n v="0.2"/>
    <s v="Credit Card"/>
    <s v="Retail"/>
    <x v="14"/>
  </r>
  <r>
    <x v="90"/>
    <x v="146"/>
    <s v="Eve"/>
    <x v="3"/>
    <x v="609"/>
    <n v="1"/>
    <x v="0"/>
    <n v="641.67999999999995"/>
    <n v="752.24"/>
    <s v="New"/>
    <n v="0.22"/>
    <s v="Bank Transfer"/>
    <s v="Online"/>
    <x v="14"/>
  </r>
  <r>
    <x v="30"/>
    <x v="176"/>
    <s v="David"/>
    <x v="1"/>
    <x v="610"/>
    <n v="11"/>
    <x v="3"/>
    <n v="1190.08"/>
    <n v="1292.9399999999901"/>
    <s v="Returning"/>
    <n v="0.13"/>
    <s v="Cash"/>
    <s v="Retail"/>
    <x v="13"/>
  </r>
  <r>
    <x v="42"/>
    <x v="142"/>
    <s v="Bob"/>
    <x v="3"/>
    <x v="611"/>
    <n v="21"/>
    <x v="2"/>
    <n v="576.74"/>
    <n v="648.29"/>
    <s v="Returning"/>
    <n v="0.2"/>
    <s v="Bank Transfer"/>
    <s v="Online"/>
    <x v="12"/>
  </r>
  <r>
    <x v="23"/>
    <x v="42"/>
    <s v="Charlie"/>
    <x v="0"/>
    <x v="612"/>
    <n v="4"/>
    <x v="0"/>
    <n v="4117.67"/>
    <n v="4280.0600000000004"/>
    <s v="Returning"/>
    <n v="0.18"/>
    <s v="Bank Transfer"/>
    <s v="Online"/>
    <x v="19"/>
  </r>
  <r>
    <x v="74"/>
    <x v="65"/>
    <s v="Bob"/>
    <x v="1"/>
    <x v="613"/>
    <n v="7"/>
    <x v="1"/>
    <n v="737.9"/>
    <n v="1182"/>
    <s v="New"/>
    <n v="0.23"/>
    <s v="Credit Card"/>
    <s v="Retail"/>
    <x v="1"/>
  </r>
  <r>
    <x v="81"/>
    <x v="11"/>
    <s v="Alice"/>
    <x v="3"/>
    <x v="614"/>
    <n v="26"/>
    <x v="2"/>
    <n v="3749.12"/>
    <n v="4138.83"/>
    <s v="New"/>
    <n v="0.13"/>
    <s v="Credit Card"/>
    <s v="Online"/>
    <x v="18"/>
  </r>
  <r>
    <x v="26"/>
    <x v="115"/>
    <s v="Bob"/>
    <x v="1"/>
    <x v="615"/>
    <n v="47"/>
    <x v="0"/>
    <n v="287.17"/>
    <n v="657.44"/>
    <s v="Returning"/>
    <n v="0.14000000000000001"/>
    <s v="Credit Card"/>
    <s v="Retail"/>
    <x v="1"/>
  </r>
  <r>
    <x v="88"/>
    <x v="272"/>
    <s v="Alice"/>
    <x v="0"/>
    <x v="616"/>
    <n v="12"/>
    <x v="2"/>
    <n v="4745.18"/>
    <n v="5145.88"/>
    <s v="Returning"/>
    <n v="0.19"/>
    <s v="Credit Card"/>
    <s v="Online"/>
    <x v="15"/>
  </r>
  <r>
    <x v="24"/>
    <x v="286"/>
    <s v="Alice"/>
    <x v="3"/>
    <x v="617"/>
    <n v="31"/>
    <x v="3"/>
    <n v="3570.24"/>
    <n v="3712.25"/>
    <s v="New"/>
    <n v="0.03"/>
    <s v="Credit Card"/>
    <s v="Online"/>
    <x v="18"/>
  </r>
  <r>
    <x v="10"/>
    <x v="287"/>
    <s v="Charlie"/>
    <x v="0"/>
    <x v="618"/>
    <n v="17"/>
    <x v="3"/>
    <n v="83.64"/>
    <n v="528.49"/>
    <s v="New"/>
    <n v="0.13"/>
    <s v="Credit Card"/>
    <s v="Online"/>
    <x v="19"/>
  </r>
  <r>
    <x v="70"/>
    <x v="229"/>
    <s v="David"/>
    <x v="3"/>
    <x v="619"/>
    <n v="33"/>
    <x v="1"/>
    <n v="3831.09"/>
    <n v="3908.37"/>
    <s v="New"/>
    <n v="0.28999999999999998"/>
    <s v="Cash"/>
    <s v="Retail"/>
    <x v="16"/>
  </r>
  <r>
    <x v="4"/>
    <x v="288"/>
    <s v="Bob"/>
    <x v="2"/>
    <x v="620"/>
    <n v="11"/>
    <x v="2"/>
    <n v="2594.71"/>
    <n v="2769.52"/>
    <s v="Returning"/>
    <n v="0.01"/>
    <s v="Bank Transfer"/>
    <s v="Retail"/>
    <x v="3"/>
  </r>
  <r>
    <x v="88"/>
    <x v="141"/>
    <s v="Alice"/>
    <x v="3"/>
    <x v="621"/>
    <n v="28"/>
    <x v="0"/>
    <n v="3907.86"/>
    <n v="4205.37"/>
    <s v="New"/>
    <n v="0.09"/>
    <s v="Credit Card"/>
    <s v="Online"/>
    <x v="18"/>
  </r>
  <r>
    <x v="21"/>
    <x v="89"/>
    <s v="Bob"/>
    <x v="1"/>
    <x v="622"/>
    <n v="32"/>
    <x v="1"/>
    <n v="2636.36"/>
    <n v="2696.78"/>
    <s v="New"/>
    <n v="0.09"/>
    <s v="Cash"/>
    <s v="Retail"/>
    <x v="1"/>
  </r>
  <r>
    <x v="40"/>
    <x v="113"/>
    <s v="David"/>
    <x v="3"/>
    <x v="623"/>
    <n v="1"/>
    <x v="2"/>
    <n v="3223.07"/>
    <n v="3590.83"/>
    <s v="New"/>
    <n v="0.19"/>
    <s v="Bank Transfer"/>
    <s v="Retail"/>
    <x v="16"/>
  </r>
  <r>
    <x v="43"/>
    <x v="250"/>
    <s v="David"/>
    <x v="0"/>
    <x v="624"/>
    <n v="47"/>
    <x v="1"/>
    <n v="3942.34"/>
    <n v="4142.09"/>
    <s v="Returning"/>
    <n v="0.03"/>
    <s v="Credit Card"/>
    <s v="Retail"/>
    <x v="11"/>
  </r>
  <r>
    <x v="69"/>
    <x v="30"/>
    <s v="Eve"/>
    <x v="0"/>
    <x v="625"/>
    <n v="28"/>
    <x v="0"/>
    <n v="2055.2800000000002"/>
    <n v="2449.64"/>
    <s v="New"/>
    <n v="0.19"/>
    <s v="Credit Card"/>
    <s v="Online"/>
    <x v="7"/>
  </r>
  <r>
    <x v="47"/>
    <x v="200"/>
    <s v="David"/>
    <x v="3"/>
    <x v="626"/>
    <n v="42"/>
    <x v="1"/>
    <n v="63.41"/>
    <n v="314.93"/>
    <s v="Returning"/>
    <n v="0.03"/>
    <s v="Cash"/>
    <s v="Retail"/>
    <x v="16"/>
  </r>
  <r>
    <x v="56"/>
    <x v="128"/>
    <s v="Charlie"/>
    <x v="1"/>
    <x v="627"/>
    <n v="7"/>
    <x v="1"/>
    <n v="4257.24"/>
    <n v="4355.87"/>
    <s v="Returning"/>
    <n v="0.03"/>
    <s v="Bank Transfer"/>
    <s v="Online"/>
    <x v="5"/>
  </r>
  <r>
    <x v="0"/>
    <x v="289"/>
    <s v="Alice"/>
    <x v="2"/>
    <x v="628"/>
    <n v="2"/>
    <x v="1"/>
    <n v="1935.41"/>
    <n v="2305.44"/>
    <s v="Returning"/>
    <n v="0.22"/>
    <s v="Credit Card"/>
    <s v="Online"/>
    <x v="9"/>
  </r>
  <r>
    <x v="6"/>
    <x v="11"/>
    <s v="Eve"/>
    <x v="1"/>
    <x v="629"/>
    <n v="42"/>
    <x v="2"/>
    <n v="2505.41"/>
    <n v="2638.96"/>
    <s v="New"/>
    <n v="0.1"/>
    <s v="Bank Transfer"/>
    <s v="Online"/>
    <x v="8"/>
  </r>
  <r>
    <x v="93"/>
    <x v="163"/>
    <s v="Charlie"/>
    <x v="2"/>
    <x v="630"/>
    <n v="24"/>
    <x v="0"/>
    <n v="88.44"/>
    <n v="338.94"/>
    <s v="New"/>
    <n v="0.28999999999999998"/>
    <s v="Cash"/>
    <s v="Online"/>
    <x v="10"/>
  </r>
  <r>
    <x v="91"/>
    <x v="148"/>
    <s v="Bob"/>
    <x v="0"/>
    <x v="631"/>
    <n v="4"/>
    <x v="3"/>
    <n v="2485.86"/>
    <n v="2532.87"/>
    <s v="New"/>
    <n v="0.01"/>
    <s v="Credit Card"/>
    <s v="Online"/>
    <x v="0"/>
  </r>
  <r>
    <x v="73"/>
    <x v="290"/>
    <s v="Alice"/>
    <x v="1"/>
    <x v="632"/>
    <n v="44"/>
    <x v="2"/>
    <n v="4933.1099999999997"/>
    <n v="5245.86"/>
    <s v="Returning"/>
    <n v="0.13"/>
    <s v="Bank Transfer"/>
    <s v="Retail"/>
    <x v="17"/>
  </r>
  <r>
    <x v="70"/>
    <x v="66"/>
    <s v="David"/>
    <x v="2"/>
    <x v="633"/>
    <n v="19"/>
    <x v="3"/>
    <n v="1427.42"/>
    <n v="1763.69"/>
    <s v="New"/>
    <n v="0.03"/>
    <s v="Cash"/>
    <s v="Retail"/>
    <x v="2"/>
  </r>
  <r>
    <x v="97"/>
    <x v="291"/>
    <s v="Alice"/>
    <x v="3"/>
    <x v="634"/>
    <n v="26"/>
    <x v="3"/>
    <n v="2007.32"/>
    <n v="2202.87"/>
    <s v="Returning"/>
    <n v="0.11"/>
    <s v="Cash"/>
    <s v="Online"/>
    <x v="18"/>
  </r>
  <r>
    <x v="0"/>
    <x v="99"/>
    <s v="Bob"/>
    <x v="0"/>
    <x v="635"/>
    <n v="11"/>
    <x v="2"/>
    <n v="3451.59"/>
    <n v="3929.26"/>
    <s v="New"/>
    <n v="0.3"/>
    <s v="Credit Card"/>
    <s v="Retail"/>
    <x v="0"/>
  </r>
  <r>
    <x v="59"/>
    <x v="70"/>
    <s v="Eve"/>
    <x v="3"/>
    <x v="636"/>
    <n v="40"/>
    <x v="2"/>
    <n v="4083.23"/>
    <n v="4521.57"/>
    <s v="New"/>
    <n v="0.27"/>
    <s v="Bank Transfer"/>
    <s v="Retail"/>
    <x v="14"/>
  </r>
  <r>
    <x v="10"/>
    <x v="206"/>
    <s v="Eve"/>
    <x v="0"/>
    <x v="637"/>
    <n v="43"/>
    <x v="0"/>
    <n v="2116.09"/>
    <n v="2472.98"/>
    <s v="New"/>
    <n v="0.01"/>
    <s v="Credit Card"/>
    <s v="Retail"/>
    <x v="7"/>
  </r>
  <r>
    <x v="14"/>
    <x v="57"/>
    <s v="Eve"/>
    <x v="1"/>
    <x v="638"/>
    <n v="11"/>
    <x v="0"/>
    <n v="1582.86"/>
    <n v="1942.55"/>
    <s v="New"/>
    <n v="0.17"/>
    <s v="Credit Card"/>
    <s v="Retail"/>
    <x v="8"/>
  </r>
  <r>
    <x v="71"/>
    <x v="186"/>
    <s v="David"/>
    <x v="1"/>
    <x v="639"/>
    <n v="45"/>
    <x v="1"/>
    <n v="4692.24"/>
    <n v="4825.92"/>
    <s v="Returning"/>
    <n v="0.19"/>
    <s v="Bank Transfer"/>
    <s v="Retail"/>
    <x v="13"/>
  </r>
  <r>
    <x v="93"/>
    <x v="177"/>
    <s v="Charlie"/>
    <x v="0"/>
    <x v="640"/>
    <n v="3"/>
    <x v="3"/>
    <n v="3401.87"/>
    <n v="3733.71"/>
    <s v="Returning"/>
    <n v="0.06"/>
    <s v="Bank Transfer"/>
    <s v="Retail"/>
    <x v="19"/>
  </r>
  <r>
    <x v="84"/>
    <x v="231"/>
    <s v="Charlie"/>
    <x v="0"/>
    <x v="641"/>
    <n v="12"/>
    <x v="0"/>
    <n v="639.16"/>
    <n v="746.28"/>
    <s v="Returning"/>
    <n v="0.04"/>
    <s v="Bank Transfer"/>
    <s v="Retail"/>
    <x v="19"/>
  </r>
  <r>
    <x v="36"/>
    <x v="292"/>
    <s v="Alice"/>
    <x v="0"/>
    <x v="642"/>
    <n v="3"/>
    <x v="1"/>
    <n v="391.19"/>
    <n v="471.75"/>
    <s v="Returning"/>
    <n v="0.27"/>
    <s v="Cash"/>
    <s v="Online"/>
    <x v="15"/>
  </r>
  <r>
    <x v="14"/>
    <x v="54"/>
    <s v="David"/>
    <x v="1"/>
    <x v="643"/>
    <n v="42"/>
    <x v="0"/>
    <n v="2443.5700000000002"/>
    <n v="2943.31"/>
    <s v="New"/>
    <n v="0.28999999999999998"/>
    <s v="Cash"/>
    <s v="Online"/>
    <x v="13"/>
  </r>
  <r>
    <x v="27"/>
    <x v="290"/>
    <s v="Eve"/>
    <x v="2"/>
    <x v="644"/>
    <n v="27"/>
    <x v="2"/>
    <n v="1139.45"/>
    <n v="1454.41"/>
    <s v="Returning"/>
    <n v="0.3"/>
    <s v="Bank Transfer"/>
    <s v="Online"/>
    <x v="6"/>
  </r>
  <r>
    <x v="22"/>
    <x v="263"/>
    <s v="Eve"/>
    <x v="3"/>
    <x v="645"/>
    <n v="49"/>
    <x v="0"/>
    <n v="1307.22"/>
    <n v="1528.4"/>
    <s v="Returning"/>
    <n v="0.24"/>
    <s v="Cash"/>
    <s v="Retail"/>
    <x v="14"/>
  </r>
  <r>
    <x v="36"/>
    <x v="68"/>
    <s v="Bob"/>
    <x v="3"/>
    <x v="646"/>
    <n v="2"/>
    <x v="3"/>
    <n v="4394.58"/>
    <n v="4545.78"/>
    <s v="Returning"/>
    <n v="0.2"/>
    <s v="Credit Card"/>
    <s v="Retail"/>
    <x v="12"/>
  </r>
  <r>
    <x v="39"/>
    <x v="293"/>
    <s v="Bob"/>
    <x v="1"/>
    <x v="647"/>
    <n v="49"/>
    <x v="0"/>
    <n v="493.35"/>
    <n v="799.27"/>
    <s v="New"/>
    <n v="0.1"/>
    <s v="Bank Transfer"/>
    <s v="Online"/>
    <x v="1"/>
  </r>
  <r>
    <x v="56"/>
    <x v="42"/>
    <s v="Eve"/>
    <x v="3"/>
    <x v="648"/>
    <n v="16"/>
    <x v="3"/>
    <n v="3591.05"/>
    <n v="3625.35"/>
    <s v="Returning"/>
    <n v="0.05"/>
    <s v="Credit Card"/>
    <s v="Retail"/>
    <x v="14"/>
  </r>
  <r>
    <x v="68"/>
    <x v="116"/>
    <s v="Eve"/>
    <x v="0"/>
    <x v="649"/>
    <n v="2"/>
    <x v="2"/>
    <n v="1392.15"/>
    <n v="1448.54"/>
    <s v="Returning"/>
    <n v="0.02"/>
    <s v="Bank Transfer"/>
    <s v="Retail"/>
    <x v="7"/>
  </r>
  <r>
    <x v="46"/>
    <x v="133"/>
    <s v="David"/>
    <x v="2"/>
    <x v="650"/>
    <n v="30"/>
    <x v="3"/>
    <n v="3813.62"/>
    <n v="3839.72"/>
    <s v="New"/>
    <n v="0.21"/>
    <s v="Credit Card"/>
    <s v="Online"/>
    <x v="2"/>
  </r>
  <r>
    <x v="7"/>
    <x v="285"/>
    <s v="Charlie"/>
    <x v="3"/>
    <x v="651"/>
    <n v="20"/>
    <x v="0"/>
    <n v="3625.94"/>
    <n v="3880.53"/>
    <s v="New"/>
    <n v="0.24"/>
    <s v="Bank Transfer"/>
    <s v="Online"/>
    <x v="4"/>
  </r>
  <r>
    <x v="1"/>
    <x v="294"/>
    <s v="Bob"/>
    <x v="2"/>
    <x v="652"/>
    <n v="38"/>
    <x v="1"/>
    <n v="86.59"/>
    <n v="390.89"/>
    <s v="Returning"/>
    <n v="0.25"/>
    <s v="Credit Card"/>
    <s v="Online"/>
    <x v="3"/>
  </r>
  <r>
    <x v="8"/>
    <x v="257"/>
    <s v="Charlie"/>
    <x v="0"/>
    <x v="653"/>
    <n v="28"/>
    <x v="2"/>
    <n v="2570.2199999999998"/>
    <n v="2610.8399999999901"/>
    <s v="Returning"/>
    <n v="0.27"/>
    <s v="Bank Transfer"/>
    <s v="Retail"/>
    <x v="19"/>
  </r>
  <r>
    <x v="37"/>
    <x v="278"/>
    <s v="David"/>
    <x v="3"/>
    <x v="654"/>
    <n v="25"/>
    <x v="0"/>
    <n v="739.63"/>
    <n v="1103.03"/>
    <s v="New"/>
    <n v="0.26"/>
    <s v="Bank Transfer"/>
    <s v="Retail"/>
    <x v="16"/>
  </r>
  <r>
    <x v="21"/>
    <x v="211"/>
    <s v="Eve"/>
    <x v="1"/>
    <x v="655"/>
    <n v="32"/>
    <x v="2"/>
    <n v="4337.82"/>
    <n v="4460.71"/>
    <s v="Returning"/>
    <n v="0.3"/>
    <s v="Cash"/>
    <s v="Retail"/>
    <x v="8"/>
  </r>
  <r>
    <x v="40"/>
    <x v="103"/>
    <s v="Charlie"/>
    <x v="2"/>
    <x v="656"/>
    <n v="10"/>
    <x v="2"/>
    <n v="4364.3500000000004"/>
    <n v="4710.1000000000004"/>
    <s v="New"/>
    <n v="7.0000000000000007E-2"/>
    <s v="Credit Card"/>
    <s v="Online"/>
    <x v="10"/>
  </r>
  <r>
    <x v="55"/>
    <x v="79"/>
    <s v="Eve"/>
    <x v="0"/>
    <x v="657"/>
    <n v="42"/>
    <x v="0"/>
    <n v="2120.81"/>
    <n v="2611.94"/>
    <s v="Returning"/>
    <n v="0.23"/>
    <s v="Cash"/>
    <s v="Online"/>
    <x v="7"/>
  </r>
  <r>
    <x v="22"/>
    <x v="295"/>
    <s v="Eve"/>
    <x v="2"/>
    <x v="658"/>
    <n v="40"/>
    <x v="0"/>
    <n v="2249.7600000000002"/>
    <n v="2598.4"/>
    <s v="Returning"/>
    <n v="0.18"/>
    <s v="Credit Card"/>
    <s v="Retail"/>
    <x v="6"/>
  </r>
  <r>
    <x v="90"/>
    <x v="296"/>
    <s v="Alice"/>
    <x v="3"/>
    <x v="659"/>
    <n v="33"/>
    <x v="1"/>
    <n v="1551.25"/>
    <n v="1994.01"/>
    <s v="Returning"/>
    <n v="0.08"/>
    <s v="Cash"/>
    <s v="Online"/>
    <x v="18"/>
  </r>
  <r>
    <x v="34"/>
    <x v="238"/>
    <s v="Charlie"/>
    <x v="3"/>
    <x v="660"/>
    <n v="13"/>
    <x v="2"/>
    <n v="3597.2"/>
    <n v="4071.8199999999902"/>
    <s v="Returning"/>
    <n v="0.28999999999999998"/>
    <s v="Bank Transfer"/>
    <s v="Online"/>
    <x v="4"/>
  </r>
  <r>
    <x v="98"/>
    <x v="91"/>
    <s v="Charlie"/>
    <x v="1"/>
    <x v="661"/>
    <n v="41"/>
    <x v="2"/>
    <n v="1825.37"/>
    <n v="2073.88"/>
    <s v="Returning"/>
    <n v="0.27"/>
    <s v="Cash"/>
    <s v="Retail"/>
    <x v="5"/>
  </r>
  <r>
    <x v="81"/>
    <x v="297"/>
    <s v="Eve"/>
    <x v="0"/>
    <x v="662"/>
    <n v="42"/>
    <x v="0"/>
    <n v="1375.57"/>
    <n v="1729.71"/>
    <s v="New"/>
    <n v="0.04"/>
    <s v="Cash"/>
    <s v="Online"/>
    <x v="7"/>
  </r>
  <r>
    <x v="58"/>
    <x v="204"/>
    <s v="David"/>
    <x v="0"/>
    <x v="663"/>
    <n v="47"/>
    <x v="3"/>
    <n v="2189.54"/>
    <n v="2617"/>
    <s v="New"/>
    <n v="0.01"/>
    <s v="Bank Transfer"/>
    <s v="Online"/>
    <x v="11"/>
  </r>
  <r>
    <x v="27"/>
    <x v="127"/>
    <s v="Alice"/>
    <x v="1"/>
    <x v="664"/>
    <n v="37"/>
    <x v="0"/>
    <n v="502.86"/>
    <n v="687.6"/>
    <s v="Returning"/>
    <n v="0.21"/>
    <s v="Cash"/>
    <s v="Online"/>
    <x v="17"/>
  </r>
  <r>
    <x v="40"/>
    <x v="157"/>
    <s v="Eve"/>
    <x v="1"/>
    <x v="665"/>
    <n v="16"/>
    <x v="2"/>
    <n v="3745.69"/>
    <n v="3883.77"/>
    <s v="Returning"/>
    <n v="0.18"/>
    <s v="Bank Transfer"/>
    <s v="Retail"/>
    <x v="8"/>
  </r>
  <r>
    <x v="50"/>
    <x v="28"/>
    <s v="Bob"/>
    <x v="0"/>
    <x v="666"/>
    <n v="45"/>
    <x v="0"/>
    <n v="112.35"/>
    <n v="586.17999999999995"/>
    <s v="Returning"/>
    <n v="0.28000000000000003"/>
    <s v="Credit Card"/>
    <s v="Retail"/>
    <x v="0"/>
  </r>
  <r>
    <x v="75"/>
    <x v="222"/>
    <s v="Bob"/>
    <x v="2"/>
    <x v="667"/>
    <n v="22"/>
    <x v="1"/>
    <n v="3240.2"/>
    <n v="3606.0899999999901"/>
    <s v="New"/>
    <n v="7.0000000000000007E-2"/>
    <s v="Cash"/>
    <s v="Online"/>
    <x v="3"/>
  </r>
  <r>
    <x v="83"/>
    <x v="11"/>
    <s v="Alice"/>
    <x v="2"/>
    <x v="668"/>
    <n v="20"/>
    <x v="3"/>
    <n v="955.18"/>
    <n v="1072.82"/>
    <s v="New"/>
    <n v="0.03"/>
    <s v="Bank Transfer"/>
    <s v="Retail"/>
    <x v="9"/>
  </r>
  <r>
    <x v="68"/>
    <x v="136"/>
    <s v="David"/>
    <x v="1"/>
    <x v="669"/>
    <n v="43"/>
    <x v="0"/>
    <n v="1200.4000000000001"/>
    <n v="1430.45"/>
    <s v="New"/>
    <n v="0.08"/>
    <s v="Bank Transfer"/>
    <s v="Retail"/>
    <x v="13"/>
  </r>
  <r>
    <x v="63"/>
    <x v="277"/>
    <s v="Eve"/>
    <x v="2"/>
    <x v="670"/>
    <n v="27"/>
    <x v="1"/>
    <n v="3196.38"/>
    <n v="3596.64"/>
    <s v="New"/>
    <n v="0.01"/>
    <s v="Cash"/>
    <s v="Retail"/>
    <x v="6"/>
  </r>
  <r>
    <x v="72"/>
    <x v="231"/>
    <s v="Charlie"/>
    <x v="0"/>
    <x v="671"/>
    <n v="41"/>
    <x v="2"/>
    <n v="4965.07"/>
    <n v="5243.13"/>
    <s v="New"/>
    <n v="0.01"/>
    <s v="Credit Card"/>
    <s v="Online"/>
    <x v="19"/>
  </r>
  <r>
    <x v="17"/>
    <x v="32"/>
    <s v="Alice"/>
    <x v="3"/>
    <x v="672"/>
    <n v="16"/>
    <x v="0"/>
    <n v="3899.7"/>
    <n v="4228.18"/>
    <s v="New"/>
    <n v="0.27"/>
    <s v="Cash"/>
    <s v="Retail"/>
    <x v="18"/>
  </r>
  <r>
    <x v="6"/>
    <x v="170"/>
    <s v="David"/>
    <x v="3"/>
    <x v="673"/>
    <n v="34"/>
    <x v="2"/>
    <n v="1167.9100000000001"/>
    <n v="1547.26"/>
    <s v="New"/>
    <n v="0.11"/>
    <s v="Bank Transfer"/>
    <s v="Online"/>
    <x v="16"/>
  </r>
  <r>
    <x v="45"/>
    <x v="70"/>
    <s v="Charlie"/>
    <x v="2"/>
    <x v="674"/>
    <n v="32"/>
    <x v="1"/>
    <n v="921.32"/>
    <n v="1236.0999999999999"/>
    <s v="New"/>
    <n v="0.12"/>
    <s v="Credit Card"/>
    <s v="Online"/>
    <x v="10"/>
  </r>
  <r>
    <x v="65"/>
    <x v="11"/>
    <s v="Bob"/>
    <x v="1"/>
    <x v="675"/>
    <n v="26"/>
    <x v="2"/>
    <n v="4337.8500000000004"/>
    <n v="4612.49"/>
    <s v="Returning"/>
    <n v="0.01"/>
    <s v="Cash"/>
    <s v="Retail"/>
    <x v="1"/>
  </r>
  <r>
    <x v="74"/>
    <x v="298"/>
    <s v="Bob"/>
    <x v="1"/>
    <x v="676"/>
    <n v="25"/>
    <x v="1"/>
    <n v="2248.71"/>
    <n v="2626.02"/>
    <s v="New"/>
    <n v="0.08"/>
    <s v="Bank Transfer"/>
    <s v="Online"/>
    <x v="1"/>
  </r>
  <r>
    <x v="90"/>
    <x v="61"/>
    <s v="Charlie"/>
    <x v="1"/>
    <x v="677"/>
    <n v="2"/>
    <x v="1"/>
    <n v="728.41"/>
    <n v="1094.92"/>
    <s v="New"/>
    <n v="0.24"/>
    <s v="Cash"/>
    <s v="Retail"/>
    <x v="5"/>
  </r>
  <r>
    <x v="43"/>
    <x v="90"/>
    <s v="Alice"/>
    <x v="1"/>
    <x v="678"/>
    <n v="12"/>
    <x v="1"/>
    <n v="4317.95"/>
    <n v="4636.59"/>
    <s v="New"/>
    <n v="0.18"/>
    <s v="Credit Card"/>
    <s v="Retail"/>
    <x v="17"/>
  </r>
  <r>
    <x v="23"/>
    <x v="175"/>
    <s v="Bob"/>
    <x v="1"/>
    <x v="679"/>
    <n v="40"/>
    <x v="0"/>
    <n v="4089.66"/>
    <n v="4275.96"/>
    <s v="New"/>
    <n v="0.23"/>
    <s v="Credit Card"/>
    <s v="Online"/>
    <x v="1"/>
  </r>
  <r>
    <x v="64"/>
    <x v="273"/>
    <s v="Eve"/>
    <x v="2"/>
    <x v="680"/>
    <n v="9"/>
    <x v="2"/>
    <n v="4920.34"/>
    <n v="5129.1899999999996"/>
    <s v="Returning"/>
    <n v="0.13"/>
    <s v="Credit Card"/>
    <s v="Online"/>
    <x v="6"/>
  </r>
  <r>
    <x v="38"/>
    <x v="59"/>
    <s v="Charlie"/>
    <x v="3"/>
    <x v="681"/>
    <n v="12"/>
    <x v="2"/>
    <n v="4553.2299999999996"/>
    <n v="5038.74"/>
    <s v="New"/>
    <n v="0.09"/>
    <s v="Credit Card"/>
    <s v="Retail"/>
    <x v="4"/>
  </r>
  <r>
    <x v="49"/>
    <x v="299"/>
    <s v="Charlie"/>
    <x v="3"/>
    <x v="682"/>
    <n v="26"/>
    <x v="3"/>
    <n v="4266.3599999999997"/>
    <n v="4331.4299999999903"/>
    <s v="Returning"/>
    <n v="0.14000000000000001"/>
    <s v="Credit Card"/>
    <s v="Retail"/>
    <x v="4"/>
  </r>
  <r>
    <x v="86"/>
    <x v="94"/>
    <s v="Bob"/>
    <x v="2"/>
    <x v="683"/>
    <n v="9"/>
    <x v="3"/>
    <n v="310.24"/>
    <n v="451.81"/>
    <s v="Returning"/>
    <n v="0.1"/>
    <s v="Cash"/>
    <s v="Retail"/>
    <x v="3"/>
  </r>
  <r>
    <x v="96"/>
    <x v="273"/>
    <s v="Alice"/>
    <x v="1"/>
    <x v="684"/>
    <n v="10"/>
    <x v="3"/>
    <n v="566.86"/>
    <n v="818.14"/>
    <s v="Returning"/>
    <n v="0.25"/>
    <s v="Credit Card"/>
    <s v="Retail"/>
    <x v="17"/>
  </r>
  <r>
    <x v="88"/>
    <x v="300"/>
    <s v="Eve"/>
    <x v="2"/>
    <x v="685"/>
    <n v="32"/>
    <x v="3"/>
    <n v="2866.47"/>
    <n v="3286.47"/>
    <s v="New"/>
    <n v="0.09"/>
    <s v="Credit Card"/>
    <s v="Online"/>
    <x v="6"/>
  </r>
  <r>
    <x v="4"/>
    <x v="228"/>
    <s v="Alice"/>
    <x v="3"/>
    <x v="686"/>
    <n v="34"/>
    <x v="2"/>
    <n v="2680.82"/>
    <n v="2771.02"/>
    <s v="New"/>
    <n v="0.2"/>
    <s v="Bank Transfer"/>
    <s v="Online"/>
    <x v="18"/>
  </r>
  <r>
    <x v="52"/>
    <x v="194"/>
    <s v="David"/>
    <x v="0"/>
    <x v="687"/>
    <n v="48"/>
    <x v="1"/>
    <n v="2316.92"/>
    <n v="2462.63"/>
    <s v="New"/>
    <n v="0.04"/>
    <s v="Credit Card"/>
    <s v="Online"/>
    <x v="11"/>
  </r>
  <r>
    <x v="36"/>
    <x v="32"/>
    <s v="David"/>
    <x v="2"/>
    <x v="688"/>
    <n v="20"/>
    <x v="1"/>
    <n v="2014.11"/>
    <n v="2056.35"/>
    <s v="Returning"/>
    <n v="0.21"/>
    <s v="Bank Transfer"/>
    <s v="Retail"/>
    <x v="2"/>
  </r>
  <r>
    <x v="25"/>
    <x v="275"/>
    <s v="Bob"/>
    <x v="1"/>
    <x v="689"/>
    <n v="39"/>
    <x v="0"/>
    <n v="2184.4899999999998"/>
    <n v="2540.4199999999901"/>
    <s v="Returning"/>
    <n v="0.27"/>
    <s v="Bank Transfer"/>
    <s v="Online"/>
    <x v="1"/>
  </r>
  <r>
    <x v="55"/>
    <x v="185"/>
    <s v="Bob"/>
    <x v="3"/>
    <x v="690"/>
    <n v="2"/>
    <x v="1"/>
    <n v="2868.02"/>
    <n v="2994.74"/>
    <s v="Returning"/>
    <n v="0.18"/>
    <s v="Bank Transfer"/>
    <s v="Online"/>
    <x v="12"/>
  </r>
  <r>
    <x v="41"/>
    <x v="24"/>
    <s v="Bob"/>
    <x v="3"/>
    <x v="691"/>
    <n v="1"/>
    <x v="2"/>
    <n v="60.28"/>
    <n v="260.73"/>
    <s v="Returning"/>
    <n v="0.17"/>
    <s v="Cash"/>
    <s v="Online"/>
    <x v="12"/>
  </r>
  <r>
    <x v="88"/>
    <x v="89"/>
    <s v="David"/>
    <x v="3"/>
    <x v="692"/>
    <n v="36"/>
    <x v="2"/>
    <n v="1340.51"/>
    <n v="1567.92"/>
    <s v="New"/>
    <n v="0.28999999999999998"/>
    <s v="Cash"/>
    <s v="Online"/>
    <x v="16"/>
  </r>
  <r>
    <x v="36"/>
    <x v="137"/>
    <s v="Alice"/>
    <x v="3"/>
    <x v="693"/>
    <n v="24"/>
    <x v="2"/>
    <n v="2615.48"/>
    <n v="3062.22"/>
    <s v="New"/>
    <n v="0.19"/>
    <s v="Bank Transfer"/>
    <s v="Retail"/>
    <x v="18"/>
  </r>
  <r>
    <x v="95"/>
    <x v="301"/>
    <s v="Alice"/>
    <x v="1"/>
    <x v="694"/>
    <n v="27"/>
    <x v="0"/>
    <n v="3624.97"/>
    <n v="3836.52"/>
    <s v="New"/>
    <n v="0.08"/>
    <s v="Cash"/>
    <s v="Online"/>
    <x v="17"/>
  </r>
  <r>
    <x v="64"/>
    <x v="204"/>
    <s v="Bob"/>
    <x v="0"/>
    <x v="695"/>
    <n v="2"/>
    <x v="3"/>
    <n v="912.08"/>
    <n v="993.24"/>
    <s v="Returning"/>
    <n v="0.09"/>
    <s v="Credit Card"/>
    <s v="Online"/>
    <x v="0"/>
  </r>
  <r>
    <x v="81"/>
    <x v="302"/>
    <s v="Eve"/>
    <x v="3"/>
    <x v="696"/>
    <n v="31"/>
    <x v="1"/>
    <n v="2757.06"/>
    <n v="3023.97"/>
    <s v="Returning"/>
    <n v="0.21"/>
    <s v="Cash"/>
    <s v="Online"/>
    <x v="14"/>
  </r>
  <r>
    <x v="28"/>
    <x v="32"/>
    <s v="Alice"/>
    <x v="2"/>
    <x v="697"/>
    <n v="14"/>
    <x v="2"/>
    <n v="3586.58"/>
    <n v="4068.43"/>
    <s v="New"/>
    <n v="0.22"/>
    <s v="Credit Card"/>
    <s v="Online"/>
    <x v="9"/>
  </r>
  <r>
    <x v="22"/>
    <x v="266"/>
    <s v="David"/>
    <x v="0"/>
    <x v="698"/>
    <n v="2"/>
    <x v="2"/>
    <n v="2250.91"/>
    <n v="2558.6799999999998"/>
    <s v="New"/>
    <n v="0.09"/>
    <s v="Credit Card"/>
    <s v="Retail"/>
    <x v="11"/>
  </r>
  <r>
    <x v="94"/>
    <x v="32"/>
    <s v="Charlie"/>
    <x v="3"/>
    <x v="699"/>
    <n v="29"/>
    <x v="3"/>
    <n v="184.05"/>
    <n v="675.91"/>
    <s v="Returning"/>
    <n v="0.1"/>
    <s v="Cash"/>
    <s v="Retail"/>
    <x v="4"/>
  </r>
  <r>
    <x v="28"/>
    <x v="171"/>
    <s v="Charlie"/>
    <x v="0"/>
    <x v="700"/>
    <n v="15"/>
    <x v="2"/>
    <n v="2273.88"/>
    <n v="2696.02"/>
    <s v="New"/>
    <n v="0.3"/>
    <s v="Cash"/>
    <s v="Online"/>
    <x v="19"/>
  </r>
  <r>
    <x v="3"/>
    <x v="104"/>
    <s v="Charlie"/>
    <x v="2"/>
    <x v="701"/>
    <n v="12"/>
    <x v="1"/>
    <n v="1517.4"/>
    <n v="1545.02"/>
    <s v="New"/>
    <n v="0.03"/>
    <s v="Bank Transfer"/>
    <s v="Retail"/>
    <x v="10"/>
  </r>
  <r>
    <x v="4"/>
    <x v="15"/>
    <s v="Eve"/>
    <x v="3"/>
    <x v="702"/>
    <n v="37"/>
    <x v="0"/>
    <n v="4651.7700000000004"/>
    <n v="4984.3900000000003"/>
    <s v="Returning"/>
    <n v="0.12"/>
    <s v="Cash"/>
    <s v="Retail"/>
    <x v="14"/>
  </r>
  <r>
    <x v="36"/>
    <x v="291"/>
    <s v="Bob"/>
    <x v="2"/>
    <x v="703"/>
    <n v="28"/>
    <x v="2"/>
    <n v="666.84"/>
    <n v="817.36"/>
    <s v="Returning"/>
    <n v="0.02"/>
    <s v="Cash"/>
    <s v="Retail"/>
    <x v="3"/>
  </r>
  <r>
    <x v="66"/>
    <x v="133"/>
    <s v="David"/>
    <x v="1"/>
    <x v="704"/>
    <n v="20"/>
    <x v="1"/>
    <n v="3279.76"/>
    <n v="3563.97"/>
    <s v="Returning"/>
    <n v="0.25"/>
    <s v="Cash"/>
    <s v="Retail"/>
    <x v="13"/>
  </r>
  <r>
    <x v="12"/>
    <x v="216"/>
    <s v="Eve"/>
    <x v="3"/>
    <x v="705"/>
    <n v="39"/>
    <x v="2"/>
    <n v="310.95999999999998"/>
    <n v="457.84"/>
    <s v="New"/>
    <n v="0.03"/>
    <s v="Credit Card"/>
    <s v="Online"/>
    <x v="14"/>
  </r>
  <r>
    <x v="77"/>
    <x v="303"/>
    <s v="David"/>
    <x v="3"/>
    <x v="706"/>
    <n v="24"/>
    <x v="3"/>
    <n v="2258.54"/>
    <n v="2439.4899999999998"/>
    <s v="Returning"/>
    <n v="0.2"/>
    <s v="Credit Card"/>
    <s v="Retail"/>
    <x v="16"/>
  </r>
  <r>
    <x v="28"/>
    <x v="74"/>
    <s v="David"/>
    <x v="3"/>
    <x v="707"/>
    <n v="21"/>
    <x v="2"/>
    <n v="2792.2"/>
    <n v="3254.5499999999902"/>
    <s v="New"/>
    <n v="0.02"/>
    <s v="Credit Card"/>
    <s v="Retail"/>
    <x v="16"/>
  </r>
  <r>
    <x v="30"/>
    <x v="154"/>
    <s v="Bob"/>
    <x v="3"/>
    <x v="708"/>
    <n v="10"/>
    <x v="2"/>
    <n v="1524.88"/>
    <n v="1636.14"/>
    <s v="New"/>
    <n v="0.2"/>
    <s v="Bank Transfer"/>
    <s v="Online"/>
    <x v="12"/>
  </r>
  <r>
    <x v="53"/>
    <x v="111"/>
    <s v="Charlie"/>
    <x v="1"/>
    <x v="709"/>
    <n v="46"/>
    <x v="0"/>
    <n v="2302.62"/>
    <n v="2740.93"/>
    <s v="Returning"/>
    <n v="0.25"/>
    <s v="Bank Transfer"/>
    <s v="Online"/>
    <x v="5"/>
  </r>
  <r>
    <x v="97"/>
    <x v="229"/>
    <s v="Bob"/>
    <x v="3"/>
    <x v="710"/>
    <n v="14"/>
    <x v="3"/>
    <n v="859.59"/>
    <n v="884.51"/>
    <s v="New"/>
    <n v="0.12"/>
    <s v="Bank Transfer"/>
    <s v="Online"/>
    <x v="12"/>
  </r>
  <r>
    <x v="87"/>
    <x v="229"/>
    <s v="Eve"/>
    <x v="0"/>
    <x v="711"/>
    <n v="37"/>
    <x v="3"/>
    <n v="1555.41"/>
    <n v="1609.94"/>
    <s v="Returning"/>
    <n v="0.16"/>
    <s v="Credit Card"/>
    <s v="Online"/>
    <x v="7"/>
  </r>
  <r>
    <x v="20"/>
    <x v="304"/>
    <s v="Eve"/>
    <x v="3"/>
    <x v="712"/>
    <n v="18"/>
    <x v="0"/>
    <n v="3124.48"/>
    <n v="3553.27"/>
    <s v="Returning"/>
    <n v="0.12"/>
    <s v="Cash"/>
    <s v="Retail"/>
    <x v="14"/>
  </r>
  <r>
    <x v="17"/>
    <x v="305"/>
    <s v="Eve"/>
    <x v="1"/>
    <x v="713"/>
    <n v="24"/>
    <x v="2"/>
    <n v="1543.91"/>
    <n v="1862.88"/>
    <s v="New"/>
    <n v="0.09"/>
    <s v="Bank Transfer"/>
    <s v="Online"/>
    <x v="8"/>
  </r>
  <r>
    <x v="51"/>
    <x v="278"/>
    <s v="Bob"/>
    <x v="3"/>
    <x v="714"/>
    <n v="14"/>
    <x v="1"/>
    <n v="4503.7299999999996"/>
    <n v="4879.8799999999901"/>
    <s v="New"/>
    <n v="0.24"/>
    <s v="Bank Transfer"/>
    <s v="Retail"/>
    <x v="12"/>
  </r>
  <r>
    <x v="22"/>
    <x v="147"/>
    <s v="David"/>
    <x v="0"/>
    <x v="715"/>
    <n v="34"/>
    <x v="3"/>
    <n v="3160.61"/>
    <n v="3273.22"/>
    <s v="Returning"/>
    <n v="0.08"/>
    <s v="Credit Card"/>
    <s v="Retail"/>
    <x v="11"/>
  </r>
  <r>
    <x v="44"/>
    <x v="306"/>
    <s v="David"/>
    <x v="1"/>
    <x v="716"/>
    <n v="12"/>
    <x v="3"/>
    <n v="2221.31"/>
    <n v="2494.48"/>
    <s v="Returning"/>
    <n v="0.22"/>
    <s v="Bank Transfer"/>
    <s v="Online"/>
    <x v="13"/>
  </r>
  <r>
    <x v="64"/>
    <x v="307"/>
    <s v="Alice"/>
    <x v="1"/>
    <x v="717"/>
    <n v="22"/>
    <x v="2"/>
    <n v="241.85"/>
    <n v="613.09"/>
    <s v="Returning"/>
    <n v="0.06"/>
    <s v="Cash"/>
    <s v="Online"/>
    <x v="17"/>
  </r>
  <r>
    <x v="82"/>
    <x v="253"/>
    <s v="Eve"/>
    <x v="0"/>
    <x v="718"/>
    <n v="6"/>
    <x v="2"/>
    <n v="2522.7600000000002"/>
    <n v="2840.14"/>
    <s v="Returning"/>
    <n v="7.0000000000000007E-2"/>
    <s v="Credit Card"/>
    <s v="Retail"/>
    <x v="7"/>
  </r>
  <r>
    <x v="64"/>
    <x v="277"/>
    <s v="David"/>
    <x v="0"/>
    <x v="719"/>
    <n v="36"/>
    <x v="3"/>
    <n v="3835.64"/>
    <n v="4076.77"/>
    <s v="Returning"/>
    <n v="0.1"/>
    <s v="Credit Card"/>
    <s v="Retail"/>
    <x v="11"/>
  </r>
  <r>
    <x v="4"/>
    <x v="64"/>
    <s v="Alice"/>
    <x v="0"/>
    <x v="720"/>
    <n v="45"/>
    <x v="2"/>
    <n v="1364.51"/>
    <n v="1844.8"/>
    <s v="Returning"/>
    <n v="0.18"/>
    <s v="Cash"/>
    <s v="Online"/>
    <x v="15"/>
  </r>
  <r>
    <x v="31"/>
    <x v="308"/>
    <s v="David"/>
    <x v="0"/>
    <x v="721"/>
    <n v="36"/>
    <x v="1"/>
    <n v="4043.53"/>
    <n v="4384.8500000000004"/>
    <s v="New"/>
    <n v="0.14000000000000001"/>
    <s v="Cash"/>
    <s v="Online"/>
    <x v="11"/>
  </r>
  <r>
    <x v="5"/>
    <x v="309"/>
    <s v="Eve"/>
    <x v="0"/>
    <x v="722"/>
    <n v="22"/>
    <x v="3"/>
    <n v="1296.44"/>
    <n v="1751.24"/>
    <s v="New"/>
    <n v="0.22"/>
    <s v="Cash"/>
    <s v="Online"/>
    <x v="7"/>
  </r>
  <r>
    <x v="29"/>
    <x v="217"/>
    <s v="Charlie"/>
    <x v="1"/>
    <x v="723"/>
    <n v="14"/>
    <x v="1"/>
    <n v="4127.54"/>
    <n v="4495.13"/>
    <s v="New"/>
    <n v="0.06"/>
    <s v="Bank Transfer"/>
    <s v="Retail"/>
    <x v="5"/>
  </r>
  <r>
    <x v="59"/>
    <x v="212"/>
    <s v="Eve"/>
    <x v="1"/>
    <x v="724"/>
    <n v="16"/>
    <x v="1"/>
    <n v="472.08"/>
    <n v="842.46"/>
    <s v="New"/>
    <n v="0"/>
    <s v="Cash"/>
    <s v="Retail"/>
    <x v="8"/>
  </r>
  <r>
    <x v="8"/>
    <x v="48"/>
    <s v="Bob"/>
    <x v="3"/>
    <x v="725"/>
    <n v="36"/>
    <x v="2"/>
    <n v="4337.6099999999997"/>
    <n v="4386.82"/>
    <s v="Returning"/>
    <n v="0.23"/>
    <s v="Credit Card"/>
    <s v="Online"/>
    <x v="12"/>
  </r>
  <r>
    <x v="49"/>
    <x v="236"/>
    <s v="David"/>
    <x v="3"/>
    <x v="726"/>
    <n v="25"/>
    <x v="1"/>
    <n v="2520.9699999999998"/>
    <n v="2707.1099999999901"/>
    <s v="New"/>
    <n v="0.25"/>
    <s v="Cash"/>
    <s v="Retail"/>
    <x v="16"/>
  </r>
  <r>
    <x v="73"/>
    <x v="306"/>
    <s v="David"/>
    <x v="2"/>
    <x v="727"/>
    <n v="32"/>
    <x v="2"/>
    <n v="1517.86"/>
    <n v="1948.46"/>
    <s v="New"/>
    <n v="0.02"/>
    <s v="Credit Card"/>
    <s v="Online"/>
    <x v="2"/>
  </r>
  <r>
    <x v="88"/>
    <x v="310"/>
    <s v="Bob"/>
    <x v="3"/>
    <x v="728"/>
    <n v="33"/>
    <x v="0"/>
    <n v="1362.31"/>
    <n v="1486.29"/>
    <s v="Returning"/>
    <n v="0.18"/>
    <s v="Credit Card"/>
    <s v="Retail"/>
    <x v="12"/>
  </r>
  <r>
    <x v="94"/>
    <x v="207"/>
    <s v="Bob"/>
    <x v="3"/>
    <x v="729"/>
    <n v="45"/>
    <x v="2"/>
    <n v="2188.4499999999998"/>
    <n v="2255.0499999999902"/>
    <s v="New"/>
    <n v="0.11"/>
    <s v="Bank Transfer"/>
    <s v="Retail"/>
    <x v="12"/>
  </r>
  <r>
    <x v="84"/>
    <x v="31"/>
    <s v="Charlie"/>
    <x v="0"/>
    <x v="730"/>
    <n v="36"/>
    <x v="1"/>
    <n v="4995.3"/>
    <n v="5165.09"/>
    <s v="Returning"/>
    <n v="0.24"/>
    <s v="Cash"/>
    <s v="Online"/>
    <x v="19"/>
  </r>
  <r>
    <x v="37"/>
    <x v="112"/>
    <s v="David"/>
    <x v="0"/>
    <x v="731"/>
    <n v="20"/>
    <x v="0"/>
    <n v="1140.6199999999999"/>
    <n v="1258.6299999999901"/>
    <s v="Returning"/>
    <n v="0.26"/>
    <s v="Bank Transfer"/>
    <s v="Online"/>
    <x v="11"/>
  </r>
  <r>
    <x v="31"/>
    <x v="294"/>
    <s v="David"/>
    <x v="3"/>
    <x v="732"/>
    <n v="18"/>
    <x v="2"/>
    <n v="560.91999999999996"/>
    <n v="1024.31"/>
    <s v="Returning"/>
    <n v="0.26"/>
    <s v="Cash"/>
    <s v="Online"/>
    <x v="16"/>
  </r>
  <r>
    <x v="24"/>
    <x v="147"/>
    <s v="Charlie"/>
    <x v="2"/>
    <x v="733"/>
    <n v="38"/>
    <x v="1"/>
    <n v="2945.92"/>
    <n v="3381.22"/>
    <s v="Returning"/>
    <n v="0.23"/>
    <s v="Cash"/>
    <s v="Retail"/>
    <x v="10"/>
  </r>
  <r>
    <x v="39"/>
    <x v="189"/>
    <s v="Alice"/>
    <x v="0"/>
    <x v="734"/>
    <n v="3"/>
    <x v="3"/>
    <n v="2468.29"/>
    <n v="2723.13"/>
    <s v="Returning"/>
    <n v="0.08"/>
    <s v="Cash"/>
    <s v="Retail"/>
    <x v="15"/>
  </r>
  <r>
    <x v="2"/>
    <x v="118"/>
    <s v="Charlie"/>
    <x v="3"/>
    <x v="735"/>
    <n v="23"/>
    <x v="3"/>
    <n v="2644.77"/>
    <n v="2684.83"/>
    <s v="New"/>
    <n v="0.24"/>
    <s v="Cash"/>
    <s v="Online"/>
    <x v="4"/>
  </r>
  <r>
    <x v="96"/>
    <x v="218"/>
    <s v="Eve"/>
    <x v="3"/>
    <x v="736"/>
    <n v="32"/>
    <x v="2"/>
    <n v="3351.33"/>
    <n v="3711.47"/>
    <s v="New"/>
    <n v="0.16"/>
    <s v="Cash"/>
    <s v="Retail"/>
    <x v="14"/>
  </r>
  <r>
    <x v="66"/>
    <x v="64"/>
    <s v="David"/>
    <x v="1"/>
    <x v="737"/>
    <n v="45"/>
    <x v="2"/>
    <n v="1372.36"/>
    <n v="1687.83"/>
    <s v="New"/>
    <n v="0.02"/>
    <s v="Credit Card"/>
    <s v="Online"/>
    <x v="13"/>
  </r>
  <r>
    <x v="52"/>
    <x v="311"/>
    <s v="Bob"/>
    <x v="2"/>
    <x v="738"/>
    <n v="16"/>
    <x v="3"/>
    <n v="4557.79"/>
    <n v="5043.3599999999997"/>
    <s v="Returning"/>
    <n v="0.14000000000000001"/>
    <s v="Credit Card"/>
    <s v="Retail"/>
    <x v="3"/>
  </r>
  <r>
    <x v="12"/>
    <x v="312"/>
    <s v="Eve"/>
    <x v="1"/>
    <x v="739"/>
    <n v="5"/>
    <x v="1"/>
    <n v="2206.58"/>
    <n v="2490.4699999999998"/>
    <s v="New"/>
    <n v="0.28000000000000003"/>
    <s v="Cash"/>
    <s v="Online"/>
    <x v="8"/>
  </r>
  <r>
    <x v="93"/>
    <x v="313"/>
    <s v="David"/>
    <x v="2"/>
    <x v="740"/>
    <n v="4"/>
    <x v="1"/>
    <n v="688.98"/>
    <n v="863.81"/>
    <s v="New"/>
    <n v="0.27"/>
    <s v="Credit Card"/>
    <s v="Retail"/>
    <x v="2"/>
  </r>
  <r>
    <x v="7"/>
    <x v="267"/>
    <s v="Charlie"/>
    <x v="0"/>
    <x v="741"/>
    <n v="21"/>
    <x v="1"/>
    <n v="3724.38"/>
    <n v="3988.7"/>
    <s v="New"/>
    <n v="0.03"/>
    <s v="Bank Transfer"/>
    <s v="Retail"/>
    <x v="19"/>
  </r>
  <r>
    <x v="84"/>
    <x v="105"/>
    <s v="Eve"/>
    <x v="2"/>
    <x v="742"/>
    <n v="40"/>
    <x v="2"/>
    <n v="3233.37"/>
    <n v="3723.21"/>
    <s v="New"/>
    <n v="0.22"/>
    <s v="Bank Transfer"/>
    <s v="Retail"/>
    <x v="6"/>
  </r>
  <r>
    <x v="8"/>
    <x v="185"/>
    <s v="David"/>
    <x v="3"/>
    <x v="743"/>
    <n v="14"/>
    <x v="0"/>
    <n v="1612.93"/>
    <n v="1964.15"/>
    <s v="Returning"/>
    <n v="0.24"/>
    <s v="Bank Transfer"/>
    <s v="Retail"/>
    <x v="16"/>
  </r>
  <r>
    <x v="70"/>
    <x v="73"/>
    <s v="Alice"/>
    <x v="3"/>
    <x v="744"/>
    <n v="39"/>
    <x v="0"/>
    <n v="3126.52"/>
    <n v="3465.79"/>
    <s v="New"/>
    <n v="0.08"/>
    <s v="Cash"/>
    <s v="Online"/>
    <x v="18"/>
  </r>
  <r>
    <x v="55"/>
    <x v="248"/>
    <s v="Alice"/>
    <x v="2"/>
    <x v="745"/>
    <n v="31"/>
    <x v="0"/>
    <n v="1138.32"/>
    <n v="1266.25"/>
    <s v="Returning"/>
    <n v="0.14000000000000001"/>
    <s v="Cash"/>
    <s v="Retail"/>
    <x v="9"/>
  </r>
  <r>
    <x v="78"/>
    <x v="309"/>
    <s v="Bob"/>
    <x v="2"/>
    <x v="746"/>
    <n v="14"/>
    <x v="0"/>
    <n v="2251.9499999999998"/>
    <n v="2626.3199999999902"/>
    <s v="Returning"/>
    <n v="0.21"/>
    <s v="Credit Card"/>
    <s v="Online"/>
    <x v="3"/>
  </r>
  <r>
    <x v="93"/>
    <x v="55"/>
    <s v="David"/>
    <x v="2"/>
    <x v="747"/>
    <n v="6"/>
    <x v="0"/>
    <n v="4502.09"/>
    <n v="4879.72"/>
    <s v="New"/>
    <n v="0.13"/>
    <s v="Credit Card"/>
    <s v="Online"/>
    <x v="2"/>
  </r>
  <r>
    <x v="3"/>
    <x v="314"/>
    <s v="Alice"/>
    <x v="1"/>
    <x v="748"/>
    <n v="12"/>
    <x v="2"/>
    <n v="710.99"/>
    <n v="876.46"/>
    <s v="Returning"/>
    <n v="0.03"/>
    <s v="Credit Card"/>
    <s v="Online"/>
    <x v="17"/>
  </r>
  <r>
    <x v="21"/>
    <x v="172"/>
    <s v="Charlie"/>
    <x v="2"/>
    <x v="749"/>
    <n v="16"/>
    <x v="2"/>
    <n v="1964.15"/>
    <n v="2211.17"/>
    <s v="Returning"/>
    <n v="0.21"/>
    <s v="Bank Transfer"/>
    <s v="Online"/>
    <x v="10"/>
  </r>
  <r>
    <x v="11"/>
    <x v="143"/>
    <s v="David"/>
    <x v="0"/>
    <x v="750"/>
    <n v="17"/>
    <x v="0"/>
    <n v="4114.66"/>
    <n v="4269.0199999999904"/>
    <s v="Returning"/>
    <n v="0.27"/>
    <s v="Bank Transfer"/>
    <s v="Retail"/>
    <x v="11"/>
  </r>
  <r>
    <x v="69"/>
    <x v="34"/>
    <s v="Charlie"/>
    <x v="1"/>
    <x v="751"/>
    <n v="45"/>
    <x v="2"/>
    <n v="4848.9799999999996"/>
    <n v="4985.75"/>
    <s v="Returning"/>
    <n v="0.2"/>
    <s v="Bank Transfer"/>
    <s v="Online"/>
    <x v="5"/>
  </r>
  <r>
    <x v="45"/>
    <x v="266"/>
    <s v="Charlie"/>
    <x v="1"/>
    <x v="752"/>
    <n v="23"/>
    <x v="2"/>
    <n v="2296.9299999999998"/>
    <n v="2319.62"/>
    <s v="Returning"/>
    <n v="0.23"/>
    <s v="Bank Transfer"/>
    <s v="Retail"/>
    <x v="5"/>
  </r>
  <r>
    <x v="28"/>
    <x v="217"/>
    <s v="Alice"/>
    <x v="2"/>
    <x v="753"/>
    <n v="14"/>
    <x v="0"/>
    <n v="2559.65"/>
    <n v="2709.4"/>
    <s v="Returning"/>
    <n v="0.11"/>
    <s v="Credit Card"/>
    <s v="Retail"/>
    <x v="9"/>
  </r>
  <r>
    <x v="49"/>
    <x v="176"/>
    <s v="David"/>
    <x v="0"/>
    <x v="754"/>
    <n v="7"/>
    <x v="1"/>
    <n v="2882.25"/>
    <n v="3163.7"/>
    <s v="Returning"/>
    <n v="0.05"/>
    <s v="Cash"/>
    <s v="Retail"/>
    <x v="11"/>
  </r>
  <r>
    <x v="41"/>
    <x v="13"/>
    <s v="Eve"/>
    <x v="1"/>
    <x v="755"/>
    <n v="46"/>
    <x v="2"/>
    <n v="4665.12"/>
    <n v="4675.8999999999996"/>
    <s v="New"/>
    <n v="0.19"/>
    <s v="Cash"/>
    <s v="Retail"/>
    <x v="8"/>
  </r>
  <r>
    <x v="45"/>
    <x v="315"/>
    <s v="Alice"/>
    <x v="3"/>
    <x v="756"/>
    <n v="32"/>
    <x v="1"/>
    <n v="4298.12"/>
    <n v="4446.8999999999996"/>
    <s v="New"/>
    <n v="0.1"/>
    <s v="Bank Transfer"/>
    <s v="Online"/>
    <x v="18"/>
  </r>
  <r>
    <x v="22"/>
    <x v="49"/>
    <s v="Alice"/>
    <x v="1"/>
    <x v="757"/>
    <n v="15"/>
    <x v="2"/>
    <n v="894.48"/>
    <n v="1336.37"/>
    <s v="Returning"/>
    <n v="0.26"/>
    <s v="Cash"/>
    <s v="Retail"/>
    <x v="17"/>
  </r>
  <r>
    <x v="19"/>
    <x v="316"/>
    <s v="David"/>
    <x v="2"/>
    <x v="758"/>
    <n v="44"/>
    <x v="2"/>
    <n v="2211.9499999999998"/>
    <n v="2512.8399999999901"/>
    <s v="Returning"/>
    <n v="0.04"/>
    <s v="Cash"/>
    <s v="Online"/>
    <x v="2"/>
  </r>
  <r>
    <x v="50"/>
    <x v="314"/>
    <s v="David"/>
    <x v="0"/>
    <x v="759"/>
    <n v="17"/>
    <x v="0"/>
    <n v="2346.8000000000002"/>
    <n v="2654.65"/>
    <s v="New"/>
    <n v="0.13"/>
    <s v="Cash"/>
    <s v="Retail"/>
    <x v="11"/>
  </r>
  <r>
    <x v="69"/>
    <x v="185"/>
    <s v="Charlie"/>
    <x v="2"/>
    <x v="760"/>
    <n v="41"/>
    <x v="2"/>
    <n v="3956.03"/>
    <n v="4163.68"/>
    <s v="New"/>
    <n v="0.12"/>
    <s v="Bank Transfer"/>
    <s v="Retail"/>
    <x v="10"/>
  </r>
  <r>
    <x v="28"/>
    <x v="78"/>
    <s v="David"/>
    <x v="3"/>
    <x v="761"/>
    <n v="47"/>
    <x v="3"/>
    <n v="3034.32"/>
    <n v="3375.79"/>
    <s v="New"/>
    <n v="0.28000000000000003"/>
    <s v="Credit Card"/>
    <s v="Online"/>
    <x v="16"/>
  </r>
  <r>
    <x v="62"/>
    <x v="88"/>
    <s v="Charlie"/>
    <x v="3"/>
    <x v="762"/>
    <n v="44"/>
    <x v="3"/>
    <n v="3288.39"/>
    <n v="3391.46"/>
    <s v="New"/>
    <n v="0.05"/>
    <s v="Credit Card"/>
    <s v="Retail"/>
    <x v="4"/>
  </r>
  <r>
    <x v="10"/>
    <x v="38"/>
    <s v="Alice"/>
    <x v="3"/>
    <x v="763"/>
    <n v="34"/>
    <x v="0"/>
    <n v="4991.09"/>
    <n v="5402.28"/>
    <s v="Returning"/>
    <n v="0"/>
    <s v="Cash"/>
    <s v="Retail"/>
    <x v="18"/>
  </r>
  <r>
    <x v="18"/>
    <x v="195"/>
    <s v="Bob"/>
    <x v="2"/>
    <x v="764"/>
    <n v="5"/>
    <x v="1"/>
    <n v="421.05"/>
    <n v="488.23"/>
    <s v="Returning"/>
    <n v="7.0000000000000007E-2"/>
    <s v="Credit Card"/>
    <s v="Retail"/>
    <x v="3"/>
  </r>
  <r>
    <x v="75"/>
    <x v="299"/>
    <s v="Eve"/>
    <x v="1"/>
    <x v="765"/>
    <n v="45"/>
    <x v="1"/>
    <n v="1153.9000000000001"/>
    <n v="1485.34"/>
    <s v="New"/>
    <n v="0.25"/>
    <s v="Credit Card"/>
    <s v="Retail"/>
    <x v="8"/>
  </r>
  <r>
    <x v="53"/>
    <x v="235"/>
    <s v="Alice"/>
    <x v="2"/>
    <x v="766"/>
    <n v="27"/>
    <x v="1"/>
    <n v="2069.08"/>
    <n v="2246.2399999999998"/>
    <s v="New"/>
    <n v="0.06"/>
    <s v="Bank Transfer"/>
    <s v="Retail"/>
    <x v="9"/>
  </r>
  <r>
    <x v="90"/>
    <x v="125"/>
    <s v="David"/>
    <x v="0"/>
    <x v="767"/>
    <n v="23"/>
    <x v="3"/>
    <n v="1771.52"/>
    <n v="2147.8000000000002"/>
    <s v="New"/>
    <n v="7.0000000000000007E-2"/>
    <s v="Bank Transfer"/>
    <s v="Online"/>
    <x v="11"/>
  </r>
  <r>
    <x v="35"/>
    <x v="317"/>
    <s v="Eve"/>
    <x v="1"/>
    <x v="768"/>
    <n v="40"/>
    <x v="1"/>
    <n v="157.15"/>
    <n v="436.53"/>
    <s v="New"/>
    <n v="0.04"/>
    <s v="Cash"/>
    <s v="Retail"/>
    <x v="8"/>
  </r>
  <r>
    <x v="20"/>
    <x v="318"/>
    <s v="Bob"/>
    <x v="3"/>
    <x v="769"/>
    <n v="14"/>
    <x v="1"/>
    <n v="504.3"/>
    <n v="735.95"/>
    <s v="Returning"/>
    <n v="0.21"/>
    <s v="Cash"/>
    <s v="Retail"/>
    <x v="12"/>
  </r>
  <r>
    <x v="42"/>
    <x v="50"/>
    <s v="Bob"/>
    <x v="2"/>
    <x v="770"/>
    <n v="15"/>
    <x v="0"/>
    <n v="3420.72"/>
    <n v="3513.74"/>
    <s v="New"/>
    <n v="0.02"/>
    <s v="Cash"/>
    <s v="Online"/>
    <x v="3"/>
  </r>
  <r>
    <x v="77"/>
    <x v="244"/>
    <s v="Charlie"/>
    <x v="3"/>
    <x v="771"/>
    <n v="43"/>
    <x v="1"/>
    <n v="4402.66"/>
    <n v="4724.7"/>
    <s v="New"/>
    <n v="0.1"/>
    <s v="Bank Transfer"/>
    <s v="Retail"/>
    <x v="4"/>
  </r>
  <r>
    <x v="28"/>
    <x v="319"/>
    <s v="Eve"/>
    <x v="3"/>
    <x v="772"/>
    <n v="33"/>
    <x v="3"/>
    <n v="2595.42"/>
    <n v="3083.06"/>
    <s v="New"/>
    <n v="0.08"/>
    <s v="Credit Card"/>
    <s v="Online"/>
    <x v="14"/>
  </r>
  <r>
    <x v="63"/>
    <x v="172"/>
    <s v="Charlie"/>
    <x v="0"/>
    <x v="773"/>
    <n v="31"/>
    <x v="3"/>
    <n v="2719"/>
    <n v="3133.55"/>
    <s v="Returning"/>
    <n v="0.17"/>
    <s v="Bank Transfer"/>
    <s v="Retail"/>
    <x v="19"/>
  </r>
  <r>
    <x v="81"/>
    <x v="267"/>
    <s v="Alice"/>
    <x v="1"/>
    <x v="774"/>
    <n v="35"/>
    <x v="3"/>
    <n v="1312.71"/>
    <n v="1352.11"/>
    <s v="Returning"/>
    <n v="0.22"/>
    <s v="Bank Transfer"/>
    <s v="Retail"/>
    <x v="17"/>
  </r>
  <r>
    <x v="98"/>
    <x v="251"/>
    <s v="Eve"/>
    <x v="0"/>
    <x v="775"/>
    <n v="17"/>
    <x v="0"/>
    <n v="3850.99"/>
    <n v="4045.3399999999901"/>
    <s v="Returning"/>
    <n v="0.16"/>
    <s v="Credit Card"/>
    <s v="Online"/>
    <x v="7"/>
  </r>
  <r>
    <x v="46"/>
    <x v="320"/>
    <s v="Alice"/>
    <x v="0"/>
    <x v="776"/>
    <n v="28"/>
    <x v="0"/>
    <n v="3771.38"/>
    <n v="4234.92"/>
    <s v="New"/>
    <n v="0.28000000000000003"/>
    <s v="Credit Card"/>
    <s v="Retail"/>
    <x v="15"/>
  </r>
  <r>
    <x v="51"/>
    <x v="211"/>
    <s v="Charlie"/>
    <x v="0"/>
    <x v="777"/>
    <n v="19"/>
    <x v="2"/>
    <n v="2962.41"/>
    <n v="3218.8999999999901"/>
    <s v="New"/>
    <n v="0.28999999999999998"/>
    <s v="Cash"/>
    <s v="Retail"/>
    <x v="19"/>
  </r>
  <r>
    <x v="60"/>
    <x v="150"/>
    <s v="Eve"/>
    <x v="3"/>
    <x v="778"/>
    <n v="46"/>
    <x v="1"/>
    <n v="1102.69"/>
    <n v="1437.12"/>
    <s v="New"/>
    <n v="0.11"/>
    <s v="Credit Card"/>
    <s v="Online"/>
    <x v="14"/>
  </r>
  <r>
    <x v="91"/>
    <x v="321"/>
    <s v="Charlie"/>
    <x v="0"/>
    <x v="779"/>
    <n v="23"/>
    <x v="0"/>
    <n v="530.24"/>
    <n v="987.41"/>
    <s v="Returning"/>
    <n v="0.23"/>
    <s v="Credit Card"/>
    <s v="Online"/>
    <x v="19"/>
  </r>
  <r>
    <x v="31"/>
    <x v="93"/>
    <s v="Eve"/>
    <x v="0"/>
    <x v="780"/>
    <n v="32"/>
    <x v="3"/>
    <n v="367.98"/>
    <n v="806.14"/>
    <s v="Returning"/>
    <n v="0.22"/>
    <s v="Credit Card"/>
    <s v="Retail"/>
    <x v="7"/>
  </r>
  <r>
    <x v="97"/>
    <x v="319"/>
    <s v="Charlie"/>
    <x v="1"/>
    <x v="781"/>
    <n v="40"/>
    <x v="3"/>
    <n v="2983.85"/>
    <n v="3239.74"/>
    <s v="New"/>
    <n v="0.27"/>
    <s v="Credit Card"/>
    <s v="Online"/>
    <x v="5"/>
  </r>
  <r>
    <x v="83"/>
    <x v="193"/>
    <s v="Bob"/>
    <x v="1"/>
    <x v="782"/>
    <n v="13"/>
    <x v="0"/>
    <n v="4133.92"/>
    <n v="4358.37"/>
    <s v="New"/>
    <n v="0.13"/>
    <s v="Cash"/>
    <s v="Retail"/>
    <x v="1"/>
  </r>
  <r>
    <x v="99"/>
    <x v="178"/>
    <s v="Charlie"/>
    <x v="0"/>
    <x v="783"/>
    <n v="20"/>
    <x v="0"/>
    <n v="4298.74"/>
    <n v="4475.1899999999996"/>
    <s v="Returning"/>
    <n v="0.16"/>
    <s v="Cash"/>
    <s v="Online"/>
    <x v="19"/>
  </r>
  <r>
    <x v="87"/>
    <x v="322"/>
    <s v="Bob"/>
    <x v="1"/>
    <x v="784"/>
    <n v="35"/>
    <x v="0"/>
    <n v="2344.9299999999998"/>
    <n v="2707.25"/>
    <s v="New"/>
    <n v="0.12"/>
    <s v="Credit Card"/>
    <s v="Retail"/>
    <x v="1"/>
  </r>
  <r>
    <x v="16"/>
    <x v="254"/>
    <s v="Charlie"/>
    <x v="1"/>
    <x v="785"/>
    <n v="5"/>
    <x v="2"/>
    <n v="3932.14"/>
    <n v="4082.7599999999902"/>
    <s v="New"/>
    <n v="0.26"/>
    <s v="Credit Card"/>
    <s v="Online"/>
    <x v="5"/>
  </r>
  <r>
    <x v="68"/>
    <x v="175"/>
    <s v="Eve"/>
    <x v="0"/>
    <x v="786"/>
    <n v="9"/>
    <x v="3"/>
    <n v="4737.0600000000004"/>
    <n v="4869.5"/>
    <s v="New"/>
    <n v="7.0000000000000007E-2"/>
    <s v="Cash"/>
    <s v="Online"/>
    <x v="7"/>
  </r>
  <r>
    <x v="20"/>
    <x v="257"/>
    <s v="Eve"/>
    <x v="3"/>
    <x v="787"/>
    <n v="29"/>
    <x v="2"/>
    <n v="1412.09"/>
    <n v="1596.6499999999901"/>
    <s v="Returning"/>
    <n v="7.0000000000000007E-2"/>
    <s v="Cash"/>
    <s v="Online"/>
    <x v="14"/>
  </r>
  <r>
    <x v="65"/>
    <x v="212"/>
    <s v="Eve"/>
    <x v="0"/>
    <x v="788"/>
    <n v="6"/>
    <x v="2"/>
    <n v="2019.9"/>
    <n v="2116.7399999999998"/>
    <s v="New"/>
    <n v="0.11"/>
    <s v="Credit Card"/>
    <s v="Online"/>
    <x v="7"/>
  </r>
  <r>
    <x v="37"/>
    <x v="157"/>
    <s v="David"/>
    <x v="1"/>
    <x v="789"/>
    <n v="25"/>
    <x v="1"/>
    <n v="4660.82"/>
    <n v="5011.4299999999903"/>
    <s v="New"/>
    <n v="7.0000000000000007E-2"/>
    <s v="Bank Transfer"/>
    <s v="Online"/>
    <x v="13"/>
  </r>
  <r>
    <x v="78"/>
    <x v="323"/>
    <s v="Alice"/>
    <x v="3"/>
    <x v="790"/>
    <n v="31"/>
    <x v="3"/>
    <n v="1724.24"/>
    <n v="2036.2"/>
    <s v="New"/>
    <n v="0.17"/>
    <s v="Cash"/>
    <s v="Online"/>
    <x v="18"/>
  </r>
  <r>
    <x v="24"/>
    <x v="39"/>
    <s v="Eve"/>
    <x v="2"/>
    <x v="791"/>
    <n v="22"/>
    <x v="3"/>
    <n v="4573.6899999999996"/>
    <n v="4820.2999999999902"/>
    <s v="New"/>
    <n v="0.04"/>
    <s v="Cash"/>
    <s v="Online"/>
    <x v="6"/>
  </r>
  <r>
    <x v="67"/>
    <x v="324"/>
    <s v="Bob"/>
    <x v="3"/>
    <x v="792"/>
    <n v="2"/>
    <x v="0"/>
    <n v="4906.17"/>
    <n v="5107.43"/>
    <s v="Returning"/>
    <n v="0.1"/>
    <s v="Cash"/>
    <s v="Online"/>
    <x v="12"/>
  </r>
  <r>
    <x v="59"/>
    <x v="325"/>
    <s v="Eve"/>
    <x v="1"/>
    <x v="793"/>
    <n v="45"/>
    <x v="0"/>
    <n v="3325.96"/>
    <n v="3781.4"/>
    <s v="Returning"/>
    <n v="0.27"/>
    <s v="Credit Card"/>
    <s v="Online"/>
    <x v="8"/>
  </r>
  <r>
    <x v="61"/>
    <x v="45"/>
    <s v="David"/>
    <x v="3"/>
    <x v="794"/>
    <n v="5"/>
    <x v="1"/>
    <n v="4093.61"/>
    <n v="4117.88"/>
    <s v="Returning"/>
    <n v="0.12"/>
    <s v="Credit Card"/>
    <s v="Retail"/>
    <x v="16"/>
  </r>
  <r>
    <x v="53"/>
    <x v="11"/>
    <s v="Bob"/>
    <x v="0"/>
    <x v="795"/>
    <n v="27"/>
    <x v="2"/>
    <n v="3760.25"/>
    <n v="4147.1099999999997"/>
    <s v="New"/>
    <n v="0.22"/>
    <s v="Cash"/>
    <s v="Online"/>
    <x v="0"/>
  </r>
  <r>
    <x v="23"/>
    <x v="178"/>
    <s v="David"/>
    <x v="2"/>
    <x v="796"/>
    <n v="25"/>
    <x v="0"/>
    <n v="3512.69"/>
    <n v="3964.63"/>
    <s v="Returning"/>
    <n v="0.03"/>
    <s v="Credit Card"/>
    <s v="Retail"/>
    <x v="2"/>
  </r>
  <r>
    <x v="74"/>
    <x v="21"/>
    <s v="Bob"/>
    <x v="2"/>
    <x v="797"/>
    <n v="8"/>
    <x v="0"/>
    <n v="1569.31"/>
    <n v="1798.02"/>
    <s v="New"/>
    <n v="7.0000000000000007E-2"/>
    <s v="Credit Card"/>
    <s v="Online"/>
    <x v="3"/>
  </r>
  <r>
    <x v="26"/>
    <x v="292"/>
    <s v="Charlie"/>
    <x v="2"/>
    <x v="798"/>
    <n v="1"/>
    <x v="3"/>
    <n v="332.62"/>
    <n v="612.46"/>
    <s v="Returning"/>
    <n v="0.24"/>
    <s v="Cash"/>
    <s v="Retail"/>
    <x v="10"/>
  </r>
  <r>
    <x v="75"/>
    <x v="118"/>
    <s v="Alice"/>
    <x v="1"/>
    <x v="799"/>
    <n v="20"/>
    <x v="3"/>
    <n v="1748.11"/>
    <n v="2220.9"/>
    <s v="New"/>
    <n v="0.23"/>
    <s v="Credit Card"/>
    <s v="Retail"/>
    <x v="17"/>
  </r>
  <r>
    <x v="24"/>
    <x v="326"/>
    <s v="Alice"/>
    <x v="1"/>
    <x v="800"/>
    <n v="44"/>
    <x v="0"/>
    <n v="3351.33"/>
    <n v="3465.35"/>
    <s v="Returning"/>
    <n v="0.12"/>
    <s v="Bank Transfer"/>
    <s v="Online"/>
    <x v="17"/>
  </r>
  <r>
    <x v="77"/>
    <x v="178"/>
    <s v="David"/>
    <x v="2"/>
    <x v="801"/>
    <n v="23"/>
    <x v="3"/>
    <n v="557.52"/>
    <n v="822.39"/>
    <s v="Returning"/>
    <n v="0.28999999999999998"/>
    <s v="Credit Card"/>
    <s v="Online"/>
    <x v="2"/>
  </r>
  <r>
    <x v="20"/>
    <x v="121"/>
    <s v="Alice"/>
    <x v="3"/>
    <x v="802"/>
    <n v="32"/>
    <x v="1"/>
    <n v="108.99"/>
    <n v="351.6"/>
    <s v="Returning"/>
    <n v="0.27"/>
    <s v="Credit Card"/>
    <s v="Retail"/>
    <x v="18"/>
  </r>
  <r>
    <x v="92"/>
    <x v="37"/>
    <s v="David"/>
    <x v="2"/>
    <x v="803"/>
    <n v="11"/>
    <x v="0"/>
    <n v="741.48"/>
    <n v="878.09"/>
    <s v="New"/>
    <n v="0.28999999999999998"/>
    <s v="Cash"/>
    <s v="Retail"/>
    <x v="2"/>
  </r>
  <r>
    <x v="73"/>
    <x v="108"/>
    <s v="David"/>
    <x v="3"/>
    <x v="804"/>
    <n v="39"/>
    <x v="3"/>
    <n v="3592.89"/>
    <n v="4004"/>
    <s v="New"/>
    <n v="0.13"/>
    <s v="Cash"/>
    <s v="Online"/>
    <x v="16"/>
  </r>
  <r>
    <x v="66"/>
    <x v="75"/>
    <s v="David"/>
    <x v="3"/>
    <x v="805"/>
    <n v="47"/>
    <x v="1"/>
    <n v="4865.33"/>
    <n v="5316.13"/>
    <s v="New"/>
    <n v="0.06"/>
    <s v="Bank Transfer"/>
    <s v="Online"/>
    <x v="16"/>
  </r>
  <r>
    <x v="5"/>
    <x v="193"/>
    <s v="Alice"/>
    <x v="1"/>
    <x v="806"/>
    <n v="24"/>
    <x v="3"/>
    <n v="4916.17"/>
    <n v="5309.32"/>
    <s v="Returning"/>
    <n v="0.19"/>
    <s v="Credit Card"/>
    <s v="Online"/>
    <x v="17"/>
  </r>
  <r>
    <x v="33"/>
    <x v="76"/>
    <s v="David"/>
    <x v="3"/>
    <x v="807"/>
    <n v="11"/>
    <x v="3"/>
    <n v="2495.1999999999998"/>
    <n v="2600.9299999999998"/>
    <s v="New"/>
    <n v="0.21"/>
    <s v="Bank Transfer"/>
    <s v="Retail"/>
    <x v="16"/>
  </r>
  <r>
    <x v="51"/>
    <x v="320"/>
    <s v="Alice"/>
    <x v="2"/>
    <x v="808"/>
    <n v="29"/>
    <x v="3"/>
    <n v="4353.29"/>
    <n v="4405.8"/>
    <s v="New"/>
    <n v="0.04"/>
    <s v="Bank Transfer"/>
    <s v="Online"/>
    <x v="9"/>
  </r>
  <r>
    <x v="28"/>
    <x v="243"/>
    <s v="David"/>
    <x v="1"/>
    <x v="809"/>
    <n v="26"/>
    <x v="0"/>
    <n v="3697.29"/>
    <n v="4003.96"/>
    <s v="New"/>
    <n v="0.24"/>
    <s v="Cash"/>
    <s v="Online"/>
    <x v="13"/>
  </r>
  <r>
    <x v="48"/>
    <x v="222"/>
    <s v="Eve"/>
    <x v="0"/>
    <x v="810"/>
    <n v="16"/>
    <x v="2"/>
    <n v="2530.15"/>
    <n v="2568.13"/>
    <s v="New"/>
    <n v="0.01"/>
    <s v="Credit Card"/>
    <s v="Online"/>
    <x v="7"/>
  </r>
  <r>
    <x v="91"/>
    <x v="181"/>
    <s v="David"/>
    <x v="0"/>
    <x v="811"/>
    <n v="35"/>
    <x v="3"/>
    <n v="2885.16"/>
    <n v="3224.8399999999901"/>
    <s v="New"/>
    <n v="0.14000000000000001"/>
    <s v="Cash"/>
    <s v="Online"/>
    <x v="11"/>
  </r>
  <r>
    <x v="56"/>
    <x v="3"/>
    <s v="Bob"/>
    <x v="1"/>
    <x v="812"/>
    <n v="20"/>
    <x v="1"/>
    <n v="729.27"/>
    <n v="999.18"/>
    <s v="New"/>
    <n v="0.1"/>
    <s v="Bank Transfer"/>
    <s v="Online"/>
    <x v="1"/>
  </r>
  <r>
    <x v="68"/>
    <x v="154"/>
    <s v="David"/>
    <x v="2"/>
    <x v="813"/>
    <n v="46"/>
    <x v="0"/>
    <n v="4691.42"/>
    <n v="5026.1899999999996"/>
    <s v="Returning"/>
    <n v="0.22"/>
    <s v="Bank Transfer"/>
    <s v="Retail"/>
    <x v="2"/>
  </r>
  <r>
    <x v="12"/>
    <x v="327"/>
    <s v="Charlie"/>
    <x v="0"/>
    <x v="814"/>
    <n v="3"/>
    <x v="0"/>
    <n v="1792.05"/>
    <n v="2091.23"/>
    <s v="Returning"/>
    <n v="0.09"/>
    <s v="Cash"/>
    <s v="Retail"/>
    <x v="19"/>
  </r>
  <r>
    <x v="14"/>
    <x v="131"/>
    <s v="David"/>
    <x v="0"/>
    <x v="815"/>
    <n v="1"/>
    <x v="1"/>
    <n v="2258.44"/>
    <n v="2475.56"/>
    <s v="New"/>
    <n v="0.25"/>
    <s v="Cash"/>
    <s v="Online"/>
    <x v="11"/>
  </r>
  <r>
    <x v="71"/>
    <x v="296"/>
    <s v="Bob"/>
    <x v="3"/>
    <x v="816"/>
    <n v="47"/>
    <x v="3"/>
    <n v="3374.72"/>
    <n v="3483.1499999999901"/>
    <s v="Returning"/>
    <n v="0.18"/>
    <s v="Cash"/>
    <s v="Online"/>
    <x v="12"/>
  </r>
  <r>
    <x v="14"/>
    <x v="76"/>
    <s v="Bob"/>
    <x v="3"/>
    <x v="817"/>
    <n v="1"/>
    <x v="2"/>
    <n v="1702.82"/>
    <n v="1862.61"/>
    <s v="Returning"/>
    <n v="0.24"/>
    <s v="Cash"/>
    <s v="Retail"/>
    <x v="12"/>
  </r>
  <r>
    <x v="72"/>
    <x v="291"/>
    <s v="Alice"/>
    <x v="2"/>
    <x v="818"/>
    <n v="17"/>
    <x v="3"/>
    <n v="1308.58"/>
    <n v="1575.59"/>
    <s v="New"/>
    <n v="0.3"/>
    <s v="Cash"/>
    <s v="Online"/>
    <x v="9"/>
  </r>
  <r>
    <x v="55"/>
    <x v="216"/>
    <s v="Eve"/>
    <x v="1"/>
    <x v="819"/>
    <n v="2"/>
    <x v="1"/>
    <n v="3173.69"/>
    <n v="3503.11"/>
    <s v="New"/>
    <n v="0.2"/>
    <s v="Bank Transfer"/>
    <s v="Retail"/>
    <x v="8"/>
  </r>
  <r>
    <x v="55"/>
    <x v="160"/>
    <s v="David"/>
    <x v="2"/>
    <x v="820"/>
    <n v="29"/>
    <x v="0"/>
    <n v="173.67"/>
    <n v="565.62"/>
    <s v="Returning"/>
    <n v="0.3"/>
    <s v="Cash"/>
    <s v="Online"/>
    <x v="2"/>
  </r>
  <r>
    <x v="6"/>
    <x v="325"/>
    <s v="Alice"/>
    <x v="1"/>
    <x v="821"/>
    <n v="20"/>
    <x v="2"/>
    <n v="3617.59"/>
    <n v="4003.5"/>
    <s v="New"/>
    <n v="0.01"/>
    <s v="Credit Card"/>
    <s v="Retail"/>
    <x v="17"/>
  </r>
  <r>
    <x v="90"/>
    <x v="120"/>
    <s v="Eve"/>
    <x v="0"/>
    <x v="822"/>
    <n v="6"/>
    <x v="0"/>
    <n v="2594.42"/>
    <n v="3081.04"/>
    <s v="Returning"/>
    <n v="0.1"/>
    <s v="Bank Transfer"/>
    <s v="Retail"/>
    <x v="7"/>
  </r>
  <r>
    <x v="59"/>
    <x v="201"/>
    <s v="David"/>
    <x v="3"/>
    <x v="823"/>
    <n v="8"/>
    <x v="1"/>
    <n v="3048.48"/>
    <n v="3198.54"/>
    <s v="Returning"/>
    <n v="0.03"/>
    <s v="Bank Transfer"/>
    <s v="Online"/>
    <x v="16"/>
  </r>
  <r>
    <x v="47"/>
    <x v="315"/>
    <s v="Charlie"/>
    <x v="2"/>
    <x v="824"/>
    <n v="29"/>
    <x v="3"/>
    <n v="3177.81"/>
    <n v="3222.65"/>
    <s v="Returning"/>
    <n v="0.08"/>
    <s v="Credit Card"/>
    <s v="Retail"/>
    <x v="10"/>
  </r>
  <r>
    <x v="35"/>
    <x v="10"/>
    <s v="David"/>
    <x v="2"/>
    <x v="825"/>
    <n v="48"/>
    <x v="2"/>
    <n v="2658.9"/>
    <n v="2838.27"/>
    <s v="New"/>
    <n v="0.25"/>
    <s v="Credit Card"/>
    <s v="Online"/>
    <x v="2"/>
  </r>
  <r>
    <x v="66"/>
    <x v="232"/>
    <s v="Bob"/>
    <x v="1"/>
    <x v="826"/>
    <n v="33"/>
    <x v="0"/>
    <n v="2933.54"/>
    <n v="3307.75"/>
    <s v="Returning"/>
    <n v="0.01"/>
    <s v="Bank Transfer"/>
    <s v="Retail"/>
    <x v="1"/>
  </r>
  <r>
    <x v="32"/>
    <x v="227"/>
    <s v="Bob"/>
    <x v="1"/>
    <x v="827"/>
    <n v="3"/>
    <x v="0"/>
    <n v="3434.75"/>
    <n v="3659.42"/>
    <s v="New"/>
    <n v="0.16"/>
    <s v="Cash"/>
    <s v="Online"/>
    <x v="1"/>
  </r>
  <r>
    <x v="64"/>
    <x v="267"/>
    <s v="Charlie"/>
    <x v="2"/>
    <x v="828"/>
    <n v="35"/>
    <x v="0"/>
    <n v="3777.94"/>
    <n v="4188.66"/>
    <s v="New"/>
    <n v="0.17"/>
    <s v="Bank Transfer"/>
    <s v="Online"/>
    <x v="10"/>
  </r>
  <r>
    <x v="77"/>
    <x v="279"/>
    <s v="Alice"/>
    <x v="1"/>
    <x v="829"/>
    <n v="5"/>
    <x v="3"/>
    <n v="3650.89"/>
    <n v="3930.06"/>
    <s v="New"/>
    <n v="0.17"/>
    <s v="Bank Transfer"/>
    <s v="Online"/>
    <x v="17"/>
  </r>
  <r>
    <x v="38"/>
    <x v="326"/>
    <s v="Eve"/>
    <x v="2"/>
    <x v="830"/>
    <n v="27"/>
    <x v="2"/>
    <n v="4354.6000000000004"/>
    <n v="4820.2"/>
    <s v="New"/>
    <n v="0.14000000000000001"/>
    <s v="Credit Card"/>
    <s v="Retail"/>
    <x v="6"/>
  </r>
  <r>
    <x v="30"/>
    <x v="328"/>
    <s v="David"/>
    <x v="2"/>
    <x v="831"/>
    <n v="44"/>
    <x v="3"/>
    <n v="987.74"/>
    <n v="1462.19"/>
    <s v="New"/>
    <n v="0.24"/>
    <s v="Bank Transfer"/>
    <s v="Online"/>
    <x v="2"/>
  </r>
  <r>
    <x v="65"/>
    <x v="243"/>
    <s v="Bob"/>
    <x v="2"/>
    <x v="832"/>
    <n v="12"/>
    <x v="3"/>
    <n v="2035.68"/>
    <n v="2079.64"/>
    <s v="Returning"/>
    <n v="0.04"/>
    <s v="Cash"/>
    <s v="Online"/>
    <x v="3"/>
  </r>
  <r>
    <x v="82"/>
    <x v="288"/>
    <s v="Alice"/>
    <x v="0"/>
    <x v="833"/>
    <n v="20"/>
    <x v="3"/>
    <n v="4741.59"/>
    <n v="4975.2299999999996"/>
    <s v="New"/>
    <n v="0.09"/>
    <s v="Credit Card"/>
    <s v="Online"/>
    <x v="15"/>
  </r>
  <r>
    <x v="54"/>
    <x v="88"/>
    <s v="Charlie"/>
    <x v="1"/>
    <x v="834"/>
    <n v="45"/>
    <x v="1"/>
    <n v="2013.12"/>
    <n v="2321.87"/>
    <s v="New"/>
    <n v="0.18"/>
    <s v="Bank Transfer"/>
    <s v="Retail"/>
    <x v="5"/>
  </r>
  <r>
    <x v="28"/>
    <x v="116"/>
    <s v="Bob"/>
    <x v="3"/>
    <x v="835"/>
    <n v="20"/>
    <x v="1"/>
    <n v="668.11"/>
    <n v="803.49"/>
    <s v="New"/>
    <n v="0.21"/>
    <s v="Bank Transfer"/>
    <s v="Online"/>
    <x v="12"/>
  </r>
  <r>
    <x v="56"/>
    <x v="329"/>
    <s v="Charlie"/>
    <x v="3"/>
    <x v="836"/>
    <n v="9"/>
    <x v="1"/>
    <n v="2650.95"/>
    <n v="2860.4199999999901"/>
    <s v="New"/>
    <n v="0.12"/>
    <s v="Cash"/>
    <s v="Retail"/>
    <x v="4"/>
  </r>
  <r>
    <x v="3"/>
    <x v="117"/>
    <s v="David"/>
    <x v="1"/>
    <x v="837"/>
    <n v="39"/>
    <x v="2"/>
    <n v="591.98"/>
    <n v="934.04"/>
    <s v="New"/>
    <n v="0.26"/>
    <s v="Bank Transfer"/>
    <s v="Retail"/>
    <x v="13"/>
  </r>
  <r>
    <x v="36"/>
    <x v="203"/>
    <s v="Eve"/>
    <x v="2"/>
    <x v="838"/>
    <n v="4"/>
    <x v="3"/>
    <n v="1054.1199999999999"/>
    <n v="1175.21999999999"/>
    <s v="Returning"/>
    <n v="0.12"/>
    <s v="Bank Transfer"/>
    <s v="Retail"/>
    <x v="6"/>
  </r>
  <r>
    <x v="61"/>
    <x v="324"/>
    <s v="Bob"/>
    <x v="3"/>
    <x v="839"/>
    <n v="19"/>
    <x v="3"/>
    <n v="4991.68"/>
    <n v="5296.65"/>
    <s v="New"/>
    <n v="0.12"/>
    <s v="Bank Transfer"/>
    <s v="Online"/>
    <x v="12"/>
  </r>
  <r>
    <x v="54"/>
    <x v="243"/>
    <s v="Bob"/>
    <x v="3"/>
    <x v="840"/>
    <n v="38"/>
    <x v="1"/>
    <n v="2729.75"/>
    <n v="3081.5"/>
    <s v="New"/>
    <n v="0.01"/>
    <s v="Bank Transfer"/>
    <s v="Online"/>
    <x v="12"/>
  </r>
  <r>
    <x v="52"/>
    <x v="330"/>
    <s v="David"/>
    <x v="1"/>
    <x v="841"/>
    <n v="27"/>
    <x v="3"/>
    <n v="1456.09"/>
    <n v="1510.4299999999901"/>
    <s v="Returning"/>
    <n v="0.17"/>
    <s v="Cash"/>
    <s v="Retail"/>
    <x v="13"/>
  </r>
  <r>
    <x v="12"/>
    <x v="331"/>
    <s v="Alice"/>
    <x v="3"/>
    <x v="842"/>
    <n v="45"/>
    <x v="3"/>
    <n v="4974.1400000000003"/>
    <n v="5227.93"/>
    <s v="New"/>
    <n v="0.21"/>
    <s v="Bank Transfer"/>
    <s v="Online"/>
    <x v="18"/>
  </r>
  <r>
    <x v="50"/>
    <x v="272"/>
    <s v="Eve"/>
    <x v="2"/>
    <x v="843"/>
    <n v="43"/>
    <x v="0"/>
    <n v="4834.47"/>
    <n v="4973.38"/>
    <s v="Returning"/>
    <n v="0.03"/>
    <s v="Bank Transfer"/>
    <s v="Online"/>
    <x v="6"/>
  </r>
  <r>
    <x v="70"/>
    <x v="89"/>
    <s v="Bob"/>
    <x v="1"/>
    <x v="844"/>
    <n v="13"/>
    <x v="3"/>
    <n v="2231.66"/>
    <n v="2596.6099999999901"/>
    <s v="Returning"/>
    <n v="0.09"/>
    <s v="Bank Transfer"/>
    <s v="Retail"/>
    <x v="1"/>
  </r>
  <r>
    <x v="65"/>
    <x v="253"/>
    <s v="Eve"/>
    <x v="2"/>
    <x v="845"/>
    <n v="13"/>
    <x v="0"/>
    <n v="1339"/>
    <n v="1441.88"/>
    <s v="Returning"/>
    <n v="0.23"/>
    <s v="Credit Card"/>
    <s v="Retail"/>
    <x v="6"/>
  </r>
  <r>
    <x v="52"/>
    <x v="332"/>
    <s v="Bob"/>
    <x v="3"/>
    <x v="846"/>
    <n v="22"/>
    <x v="3"/>
    <n v="4200.08"/>
    <n v="4647.28"/>
    <s v="Returning"/>
    <n v="0.11"/>
    <s v="Cash"/>
    <s v="Online"/>
    <x v="12"/>
  </r>
  <r>
    <x v="68"/>
    <x v="94"/>
    <s v="Eve"/>
    <x v="3"/>
    <x v="847"/>
    <n v="28"/>
    <x v="2"/>
    <n v="3592.32"/>
    <n v="3813.48"/>
    <s v="New"/>
    <n v="7.0000000000000007E-2"/>
    <s v="Credit Card"/>
    <s v="Retail"/>
    <x v="14"/>
  </r>
  <r>
    <x v="79"/>
    <x v="248"/>
    <s v="Charlie"/>
    <x v="2"/>
    <x v="848"/>
    <n v="47"/>
    <x v="1"/>
    <n v="3450.36"/>
    <n v="3557.38"/>
    <s v="New"/>
    <n v="0.2"/>
    <s v="Credit Card"/>
    <s v="Online"/>
    <x v="10"/>
  </r>
  <r>
    <x v="79"/>
    <x v="120"/>
    <s v="Bob"/>
    <x v="0"/>
    <x v="849"/>
    <n v="45"/>
    <x v="0"/>
    <n v="4470.91"/>
    <n v="4695.54"/>
    <s v="Returning"/>
    <n v="0.06"/>
    <s v="Cash"/>
    <s v="Retail"/>
    <x v="0"/>
  </r>
  <r>
    <x v="84"/>
    <x v="115"/>
    <s v="Eve"/>
    <x v="3"/>
    <x v="850"/>
    <n v="22"/>
    <x v="1"/>
    <n v="3462.61"/>
    <n v="3672.89"/>
    <s v="Returning"/>
    <n v="0.27"/>
    <s v="Credit Card"/>
    <s v="Online"/>
    <x v="14"/>
  </r>
  <r>
    <x v="90"/>
    <x v="195"/>
    <s v="Alice"/>
    <x v="0"/>
    <x v="851"/>
    <n v="43"/>
    <x v="0"/>
    <n v="1454.8"/>
    <n v="1674.97"/>
    <s v="New"/>
    <n v="0.03"/>
    <s v="Credit Card"/>
    <s v="Online"/>
    <x v="15"/>
  </r>
  <r>
    <x v="31"/>
    <x v="312"/>
    <s v="Charlie"/>
    <x v="3"/>
    <x v="852"/>
    <n v="19"/>
    <x v="0"/>
    <n v="3484.62"/>
    <n v="3781.5499999999902"/>
    <s v="Returning"/>
    <n v="0.21"/>
    <s v="Credit Card"/>
    <s v="Retail"/>
    <x v="4"/>
  </r>
  <r>
    <x v="71"/>
    <x v="80"/>
    <s v="Charlie"/>
    <x v="0"/>
    <x v="853"/>
    <n v="8"/>
    <x v="0"/>
    <n v="1563.78"/>
    <n v="1829.1599999999901"/>
    <s v="Returning"/>
    <n v="0.15"/>
    <s v="Cash"/>
    <s v="Online"/>
    <x v="19"/>
  </r>
  <r>
    <x v="76"/>
    <x v="3"/>
    <s v="Alice"/>
    <x v="0"/>
    <x v="854"/>
    <n v="8"/>
    <x v="2"/>
    <n v="3808.23"/>
    <n v="3891.62"/>
    <s v="Returning"/>
    <n v="0.26"/>
    <s v="Bank Transfer"/>
    <s v="Online"/>
    <x v="15"/>
  </r>
  <r>
    <x v="59"/>
    <x v="283"/>
    <s v="Eve"/>
    <x v="0"/>
    <x v="855"/>
    <n v="42"/>
    <x v="3"/>
    <n v="3117.75"/>
    <n v="3159.88"/>
    <s v="New"/>
    <n v="0.04"/>
    <s v="Cash"/>
    <s v="Retail"/>
    <x v="7"/>
  </r>
  <r>
    <x v="39"/>
    <x v="132"/>
    <s v="David"/>
    <x v="2"/>
    <x v="856"/>
    <n v="26"/>
    <x v="0"/>
    <n v="433.19"/>
    <n v="800.6"/>
    <s v="Returning"/>
    <n v="0.2"/>
    <s v="Cash"/>
    <s v="Online"/>
    <x v="2"/>
  </r>
  <r>
    <x v="83"/>
    <x v="231"/>
    <s v="Alice"/>
    <x v="0"/>
    <x v="857"/>
    <n v="48"/>
    <x v="2"/>
    <n v="2588.54"/>
    <n v="2872.8"/>
    <s v="New"/>
    <n v="0.17"/>
    <s v="Cash"/>
    <s v="Online"/>
    <x v="15"/>
  </r>
  <r>
    <x v="8"/>
    <x v="196"/>
    <s v="Eve"/>
    <x v="0"/>
    <x v="858"/>
    <n v="26"/>
    <x v="0"/>
    <n v="1749.34"/>
    <n v="1935.25"/>
    <s v="New"/>
    <n v="0.14000000000000001"/>
    <s v="Credit Card"/>
    <s v="Online"/>
    <x v="7"/>
  </r>
  <r>
    <x v="32"/>
    <x v="78"/>
    <s v="Alice"/>
    <x v="0"/>
    <x v="859"/>
    <n v="23"/>
    <x v="3"/>
    <n v="1676.42"/>
    <n v="2082.52"/>
    <s v="New"/>
    <n v="0.15"/>
    <s v="Bank Transfer"/>
    <s v="Retail"/>
    <x v="15"/>
  </r>
  <r>
    <x v="17"/>
    <x v="159"/>
    <s v="Alice"/>
    <x v="3"/>
    <x v="860"/>
    <n v="43"/>
    <x v="0"/>
    <n v="3031.17"/>
    <n v="3231.32"/>
    <s v="Returning"/>
    <n v="0.22"/>
    <s v="Cash"/>
    <s v="Retail"/>
    <x v="18"/>
  </r>
  <r>
    <x v="18"/>
    <x v="167"/>
    <s v="Bob"/>
    <x v="0"/>
    <x v="861"/>
    <n v="13"/>
    <x v="2"/>
    <n v="1645.51"/>
    <n v="2045.53"/>
    <s v="Returning"/>
    <n v="0.28000000000000003"/>
    <s v="Cash"/>
    <s v="Retail"/>
    <x v="0"/>
  </r>
  <r>
    <x v="92"/>
    <x v="176"/>
    <s v="Eve"/>
    <x v="3"/>
    <x v="862"/>
    <n v="28"/>
    <x v="3"/>
    <n v="3895.62"/>
    <n v="4055.44"/>
    <s v="New"/>
    <n v="0.03"/>
    <s v="Bank Transfer"/>
    <s v="Retail"/>
    <x v="14"/>
  </r>
  <r>
    <x v="17"/>
    <x v="288"/>
    <s v="David"/>
    <x v="0"/>
    <x v="863"/>
    <n v="9"/>
    <x v="2"/>
    <n v="400.42"/>
    <n v="446.11"/>
    <s v="New"/>
    <n v="0.01"/>
    <s v="Bank Transfer"/>
    <s v="Retail"/>
    <x v="11"/>
  </r>
  <r>
    <x v="50"/>
    <x v="249"/>
    <s v="Bob"/>
    <x v="0"/>
    <x v="864"/>
    <n v="20"/>
    <x v="3"/>
    <n v="3318.92"/>
    <n v="3785.91"/>
    <s v="New"/>
    <n v="0.24"/>
    <s v="Bank Transfer"/>
    <s v="Online"/>
    <x v="0"/>
  </r>
  <r>
    <x v="92"/>
    <x v="333"/>
    <s v="Alice"/>
    <x v="2"/>
    <x v="865"/>
    <n v="19"/>
    <x v="3"/>
    <n v="4055.51"/>
    <n v="4258.84"/>
    <s v="Returning"/>
    <n v="0.03"/>
    <s v="Credit Card"/>
    <s v="Online"/>
    <x v="9"/>
  </r>
  <r>
    <x v="60"/>
    <x v="230"/>
    <s v="Alice"/>
    <x v="3"/>
    <x v="866"/>
    <n v="48"/>
    <x v="1"/>
    <n v="3380.52"/>
    <n v="3778.94"/>
    <s v="Returning"/>
    <n v="0.3"/>
    <s v="Bank Transfer"/>
    <s v="Online"/>
    <x v="18"/>
  </r>
  <r>
    <x v="16"/>
    <x v="288"/>
    <s v="Alice"/>
    <x v="0"/>
    <x v="867"/>
    <n v="39"/>
    <x v="1"/>
    <n v="2511.2800000000002"/>
    <n v="2658.06"/>
    <s v="New"/>
    <n v="0.19"/>
    <s v="Credit Card"/>
    <s v="Retail"/>
    <x v="15"/>
  </r>
  <r>
    <x v="76"/>
    <x v="17"/>
    <s v="Eve"/>
    <x v="3"/>
    <x v="868"/>
    <n v="12"/>
    <x v="1"/>
    <n v="4754.0200000000004"/>
    <n v="5080.74"/>
    <s v="New"/>
    <n v="0.2"/>
    <s v="Cash"/>
    <s v="Online"/>
    <x v="14"/>
  </r>
  <r>
    <x v="25"/>
    <x v="279"/>
    <s v="Eve"/>
    <x v="3"/>
    <x v="869"/>
    <n v="15"/>
    <x v="3"/>
    <n v="1534.7"/>
    <n v="1972.62"/>
    <s v="Returning"/>
    <n v="0.06"/>
    <s v="Credit Card"/>
    <s v="Retail"/>
    <x v="14"/>
  </r>
  <r>
    <x v="32"/>
    <x v="10"/>
    <s v="Bob"/>
    <x v="1"/>
    <x v="870"/>
    <n v="31"/>
    <x v="0"/>
    <n v="144.88"/>
    <n v="175.29"/>
    <s v="New"/>
    <n v="7.0000000000000007E-2"/>
    <s v="Bank Transfer"/>
    <s v="Online"/>
    <x v="1"/>
  </r>
  <r>
    <x v="53"/>
    <x v="293"/>
    <s v="David"/>
    <x v="2"/>
    <x v="871"/>
    <n v="14"/>
    <x v="2"/>
    <n v="2188.35"/>
    <n v="2605.3599999999901"/>
    <s v="Returning"/>
    <n v="0.2"/>
    <s v="Credit Card"/>
    <s v="Retail"/>
    <x v="2"/>
  </r>
  <r>
    <x v="92"/>
    <x v="200"/>
    <s v="Bob"/>
    <x v="2"/>
    <x v="872"/>
    <n v="11"/>
    <x v="2"/>
    <n v="213.41"/>
    <n v="503.36"/>
    <s v="Returning"/>
    <n v="0.27"/>
    <s v="Bank Transfer"/>
    <s v="Online"/>
    <x v="3"/>
  </r>
  <r>
    <x v="0"/>
    <x v="25"/>
    <s v="Charlie"/>
    <x v="2"/>
    <x v="873"/>
    <n v="26"/>
    <x v="2"/>
    <n v="4771.99"/>
    <n v="5079.6499999999996"/>
    <s v="New"/>
    <n v="0.28999999999999998"/>
    <s v="Credit Card"/>
    <s v="Online"/>
    <x v="10"/>
  </r>
  <r>
    <x v="17"/>
    <x v="196"/>
    <s v="Alice"/>
    <x v="1"/>
    <x v="874"/>
    <n v="42"/>
    <x v="1"/>
    <n v="1089.0899999999999"/>
    <n v="1355.44"/>
    <s v="New"/>
    <n v="0.06"/>
    <s v="Cash"/>
    <s v="Retail"/>
    <x v="17"/>
  </r>
  <r>
    <x v="85"/>
    <x v="188"/>
    <s v="Alice"/>
    <x v="1"/>
    <x v="875"/>
    <n v="27"/>
    <x v="3"/>
    <n v="3955.19"/>
    <n v="4393.68"/>
    <s v="Returning"/>
    <n v="0.04"/>
    <s v="Credit Card"/>
    <s v="Online"/>
    <x v="17"/>
  </r>
  <r>
    <x v="9"/>
    <x v="142"/>
    <s v="Alice"/>
    <x v="2"/>
    <x v="876"/>
    <n v="11"/>
    <x v="1"/>
    <n v="3884.13"/>
    <n v="3915.41"/>
    <s v="Returning"/>
    <n v="0.02"/>
    <s v="Cash"/>
    <s v="Online"/>
    <x v="9"/>
  </r>
  <r>
    <x v="76"/>
    <x v="275"/>
    <s v="Bob"/>
    <x v="1"/>
    <x v="877"/>
    <n v="38"/>
    <x v="0"/>
    <n v="1127.76"/>
    <n v="1265.6600000000001"/>
    <s v="Returning"/>
    <n v="0.26"/>
    <s v="Bank Transfer"/>
    <s v="Retail"/>
    <x v="1"/>
  </r>
  <r>
    <x v="16"/>
    <x v="262"/>
    <s v="Bob"/>
    <x v="1"/>
    <x v="878"/>
    <n v="34"/>
    <x v="3"/>
    <n v="3125.07"/>
    <n v="3564.19"/>
    <s v="Returning"/>
    <n v="0.09"/>
    <s v="Cash"/>
    <s v="Online"/>
    <x v="1"/>
  </r>
  <r>
    <x v="32"/>
    <x v="15"/>
    <s v="Alice"/>
    <x v="1"/>
    <x v="879"/>
    <n v="43"/>
    <x v="2"/>
    <n v="287.99"/>
    <n v="666.64"/>
    <s v="Returning"/>
    <n v="0"/>
    <s v="Bank Transfer"/>
    <s v="Online"/>
    <x v="17"/>
  </r>
  <r>
    <x v="48"/>
    <x v="265"/>
    <s v="Bob"/>
    <x v="2"/>
    <x v="880"/>
    <n v="19"/>
    <x v="1"/>
    <n v="2443.69"/>
    <n v="2462.34"/>
    <s v="New"/>
    <n v="7.0000000000000007E-2"/>
    <s v="Bank Transfer"/>
    <s v="Retail"/>
    <x v="3"/>
  </r>
  <r>
    <x v="68"/>
    <x v="91"/>
    <s v="Eve"/>
    <x v="2"/>
    <x v="881"/>
    <n v="6"/>
    <x v="1"/>
    <n v="122.5"/>
    <n v="385.83"/>
    <s v="Returning"/>
    <n v="0.1"/>
    <s v="Cash"/>
    <s v="Retail"/>
    <x v="6"/>
  </r>
  <r>
    <x v="63"/>
    <x v="159"/>
    <s v="Eve"/>
    <x v="2"/>
    <x v="882"/>
    <n v="46"/>
    <x v="0"/>
    <n v="4609.66"/>
    <n v="4879.1499999999996"/>
    <s v="Returning"/>
    <n v="0.3"/>
    <s v="Cash"/>
    <s v="Retail"/>
    <x v="6"/>
  </r>
  <r>
    <x v="38"/>
    <x v="109"/>
    <s v="Bob"/>
    <x v="1"/>
    <x v="883"/>
    <n v="38"/>
    <x v="0"/>
    <n v="4881.63"/>
    <n v="5088.0600000000004"/>
    <s v="Returning"/>
    <n v="0.16"/>
    <s v="Credit Card"/>
    <s v="Retail"/>
    <x v="1"/>
  </r>
  <r>
    <x v="99"/>
    <x v="210"/>
    <s v="Alice"/>
    <x v="2"/>
    <x v="884"/>
    <n v="49"/>
    <x v="1"/>
    <n v="1150.3"/>
    <n v="1306.02"/>
    <s v="New"/>
    <n v="0.06"/>
    <s v="Credit Card"/>
    <s v="Retail"/>
    <x v="9"/>
  </r>
  <r>
    <x v="87"/>
    <x v="241"/>
    <s v="Bob"/>
    <x v="1"/>
    <x v="885"/>
    <n v="42"/>
    <x v="0"/>
    <n v="1080.1199999999999"/>
    <n v="1424.1699999999901"/>
    <s v="New"/>
    <n v="0.1"/>
    <s v="Cash"/>
    <s v="Online"/>
    <x v="1"/>
  </r>
  <r>
    <x v="90"/>
    <x v="85"/>
    <s v="Bob"/>
    <x v="0"/>
    <x v="886"/>
    <n v="28"/>
    <x v="2"/>
    <n v="3780.91"/>
    <n v="3892.73"/>
    <s v="Returning"/>
    <n v="0.1"/>
    <s v="Cash"/>
    <s v="Retail"/>
    <x v="0"/>
  </r>
  <r>
    <x v="55"/>
    <x v="248"/>
    <s v="Bob"/>
    <x v="1"/>
    <x v="887"/>
    <n v="1"/>
    <x v="0"/>
    <n v="1304.23"/>
    <n v="1705.71"/>
    <s v="Returning"/>
    <n v="0.01"/>
    <s v="Cash"/>
    <s v="Retail"/>
    <x v="1"/>
  </r>
  <r>
    <x v="90"/>
    <x v="294"/>
    <s v="Charlie"/>
    <x v="3"/>
    <x v="888"/>
    <n v="35"/>
    <x v="0"/>
    <n v="4480.63"/>
    <n v="4884.12"/>
    <s v="New"/>
    <n v="0.04"/>
    <s v="Cash"/>
    <s v="Online"/>
    <x v="4"/>
  </r>
  <r>
    <x v="42"/>
    <x v="270"/>
    <s v="Eve"/>
    <x v="2"/>
    <x v="889"/>
    <n v="40"/>
    <x v="1"/>
    <n v="2890.95"/>
    <n v="3104.43"/>
    <s v="New"/>
    <n v="0.21"/>
    <s v="Bank Transfer"/>
    <s v="Online"/>
    <x v="6"/>
  </r>
  <r>
    <x v="9"/>
    <x v="250"/>
    <s v="David"/>
    <x v="2"/>
    <x v="890"/>
    <n v="8"/>
    <x v="1"/>
    <n v="1786.35"/>
    <n v="1935.29"/>
    <s v="New"/>
    <n v="0.04"/>
    <s v="Cash"/>
    <s v="Online"/>
    <x v="2"/>
  </r>
  <r>
    <x v="91"/>
    <x v="126"/>
    <s v="David"/>
    <x v="3"/>
    <x v="891"/>
    <n v="47"/>
    <x v="3"/>
    <n v="4171.83"/>
    <n v="4320.93"/>
    <s v="New"/>
    <n v="7.0000000000000007E-2"/>
    <s v="Cash"/>
    <s v="Online"/>
    <x v="16"/>
  </r>
  <r>
    <x v="54"/>
    <x v="154"/>
    <s v="Charlie"/>
    <x v="1"/>
    <x v="892"/>
    <n v="7"/>
    <x v="3"/>
    <n v="2492.36"/>
    <n v="2738.68"/>
    <s v="Returning"/>
    <n v="0.11"/>
    <s v="Cash"/>
    <s v="Online"/>
    <x v="5"/>
  </r>
  <r>
    <x v="51"/>
    <x v="141"/>
    <s v="Bob"/>
    <x v="0"/>
    <x v="893"/>
    <n v="11"/>
    <x v="1"/>
    <n v="4562.58"/>
    <n v="4925.17"/>
    <s v="New"/>
    <n v="0.23"/>
    <s v="Cash"/>
    <s v="Retail"/>
    <x v="0"/>
  </r>
  <r>
    <x v="14"/>
    <x v="67"/>
    <s v="Charlie"/>
    <x v="3"/>
    <x v="894"/>
    <n v="39"/>
    <x v="0"/>
    <n v="4643.67"/>
    <n v="4829.5200000000004"/>
    <s v="Returning"/>
    <n v="0.17"/>
    <s v="Bank Transfer"/>
    <s v="Online"/>
    <x v="4"/>
  </r>
  <r>
    <x v="83"/>
    <x v="166"/>
    <s v="Charlie"/>
    <x v="3"/>
    <x v="895"/>
    <n v="4"/>
    <x v="0"/>
    <n v="868.83"/>
    <n v="1177.75"/>
    <s v="Returning"/>
    <n v="0.21"/>
    <s v="Credit Card"/>
    <s v="Retail"/>
    <x v="4"/>
  </r>
  <r>
    <x v="77"/>
    <x v="318"/>
    <s v="Alice"/>
    <x v="1"/>
    <x v="896"/>
    <n v="25"/>
    <x v="3"/>
    <n v="61.5"/>
    <n v="258.91999999999899"/>
    <s v="New"/>
    <n v="0.17"/>
    <s v="Credit Card"/>
    <s v="Online"/>
    <x v="17"/>
  </r>
  <r>
    <x v="80"/>
    <x v="111"/>
    <s v="Eve"/>
    <x v="2"/>
    <x v="897"/>
    <n v="12"/>
    <x v="3"/>
    <n v="4920.46"/>
    <n v="5079.68"/>
    <s v="New"/>
    <n v="0.21"/>
    <s v="Credit Card"/>
    <s v="Retail"/>
    <x v="6"/>
  </r>
  <r>
    <x v="8"/>
    <x v="219"/>
    <s v="David"/>
    <x v="1"/>
    <x v="898"/>
    <n v="26"/>
    <x v="3"/>
    <n v="4535.38"/>
    <n v="4557.5600000000004"/>
    <s v="New"/>
    <n v="0"/>
    <s v="Credit Card"/>
    <s v="Online"/>
    <x v="13"/>
  </r>
  <r>
    <x v="71"/>
    <x v="53"/>
    <s v="Bob"/>
    <x v="3"/>
    <x v="899"/>
    <n v="38"/>
    <x v="2"/>
    <n v="324.45"/>
    <n v="336.37"/>
    <s v="New"/>
    <n v="0.28000000000000003"/>
    <s v="Credit Card"/>
    <s v="Retail"/>
    <x v="12"/>
  </r>
  <r>
    <x v="33"/>
    <x v="15"/>
    <s v="David"/>
    <x v="3"/>
    <x v="900"/>
    <n v="46"/>
    <x v="2"/>
    <n v="4173.5200000000004"/>
    <n v="4294.8500000000004"/>
    <s v="Returning"/>
    <n v="0.03"/>
    <s v="Bank Transfer"/>
    <s v="Retail"/>
    <x v="16"/>
  </r>
  <r>
    <x v="29"/>
    <x v="314"/>
    <s v="David"/>
    <x v="2"/>
    <x v="901"/>
    <n v="12"/>
    <x v="3"/>
    <n v="2316.13"/>
    <n v="2525.27"/>
    <s v="Returning"/>
    <n v="0.12"/>
    <s v="Credit Card"/>
    <s v="Retail"/>
    <x v="2"/>
  </r>
  <r>
    <x v="56"/>
    <x v="313"/>
    <s v="Eve"/>
    <x v="2"/>
    <x v="902"/>
    <n v="43"/>
    <x v="0"/>
    <n v="1331.86"/>
    <n v="1758.98"/>
    <s v="Returning"/>
    <n v="0.23"/>
    <s v="Bank Transfer"/>
    <s v="Retail"/>
    <x v="6"/>
  </r>
  <r>
    <x v="8"/>
    <x v="334"/>
    <s v="David"/>
    <x v="2"/>
    <x v="903"/>
    <n v="37"/>
    <x v="3"/>
    <n v="4399.8"/>
    <n v="4801.0600000000004"/>
    <s v="New"/>
    <n v="0.13"/>
    <s v="Bank Transfer"/>
    <s v="Retail"/>
    <x v="2"/>
  </r>
  <r>
    <x v="93"/>
    <x v="168"/>
    <s v="David"/>
    <x v="1"/>
    <x v="904"/>
    <n v="46"/>
    <x v="2"/>
    <n v="1023.5"/>
    <n v="1164.4100000000001"/>
    <s v="Returning"/>
    <n v="0.28000000000000003"/>
    <s v="Credit Card"/>
    <s v="Retail"/>
    <x v="13"/>
  </r>
  <r>
    <x v="45"/>
    <x v="274"/>
    <s v="Charlie"/>
    <x v="2"/>
    <x v="905"/>
    <n v="24"/>
    <x v="0"/>
    <n v="4739.13"/>
    <n v="4868.95"/>
    <s v="New"/>
    <n v="0.14000000000000001"/>
    <s v="Credit Card"/>
    <s v="Retail"/>
    <x v="10"/>
  </r>
  <r>
    <x v="38"/>
    <x v="43"/>
    <s v="Eve"/>
    <x v="3"/>
    <x v="906"/>
    <n v="16"/>
    <x v="2"/>
    <n v="1067.83"/>
    <n v="1189.22"/>
    <s v="Returning"/>
    <n v="0.26"/>
    <s v="Credit Card"/>
    <s v="Retail"/>
    <x v="14"/>
  </r>
  <r>
    <x v="38"/>
    <x v="196"/>
    <s v="Alice"/>
    <x v="3"/>
    <x v="907"/>
    <n v="13"/>
    <x v="0"/>
    <n v="3087.73"/>
    <n v="3263.96"/>
    <s v="New"/>
    <n v="0.24"/>
    <s v="Cash"/>
    <s v="Retail"/>
    <x v="18"/>
  </r>
  <r>
    <x v="87"/>
    <x v="197"/>
    <s v="Bob"/>
    <x v="0"/>
    <x v="908"/>
    <n v="25"/>
    <x v="2"/>
    <n v="1154.28"/>
    <n v="1408.4"/>
    <s v="Returning"/>
    <n v="0.28999999999999998"/>
    <s v="Bank Transfer"/>
    <s v="Retail"/>
    <x v="0"/>
  </r>
  <r>
    <x v="97"/>
    <x v="59"/>
    <s v="David"/>
    <x v="1"/>
    <x v="909"/>
    <n v="4"/>
    <x v="0"/>
    <n v="2751.06"/>
    <n v="2976.0099999999902"/>
    <s v="Returning"/>
    <n v="0.28000000000000003"/>
    <s v="Credit Card"/>
    <s v="Online"/>
    <x v="13"/>
  </r>
  <r>
    <x v="95"/>
    <x v="330"/>
    <s v="Bob"/>
    <x v="0"/>
    <x v="910"/>
    <n v="11"/>
    <x v="0"/>
    <n v="3435.68"/>
    <n v="3552.6299999999901"/>
    <s v="New"/>
    <n v="0.27"/>
    <s v="Cash"/>
    <s v="Retail"/>
    <x v="0"/>
  </r>
  <r>
    <x v="78"/>
    <x v="247"/>
    <s v="Alice"/>
    <x v="3"/>
    <x v="911"/>
    <n v="32"/>
    <x v="0"/>
    <n v="991.63"/>
    <n v="1065.55"/>
    <s v="Returning"/>
    <n v="0.22"/>
    <s v="Bank Transfer"/>
    <s v="Retail"/>
    <x v="18"/>
  </r>
  <r>
    <x v="95"/>
    <x v="114"/>
    <s v="Bob"/>
    <x v="0"/>
    <x v="912"/>
    <n v="49"/>
    <x v="0"/>
    <n v="2628.38"/>
    <n v="2644.54"/>
    <s v="Returning"/>
    <n v="0.11"/>
    <s v="Cash"/>
    <s v="Online"/>
    <x v="0"/>
  </r>
  <r>
    <x v="75"/>
    <x v="153"/>
    <s v="Alice"/>
    <x v="3"/>
    <x v="913"/>
    <n v="7"/>
    <x v="1"/>
    <n v="2371.85"/>
    <n v="2457.29"/>
    <s v="New"/>
    <n v="0.03"/>
    <s v="Cash"/>
    <s v="Retail"/>
    <x v="18"/>
  </r>
  <r>
    <x v="1"/>
    <x v="82"/>
    <s v="Charlie"/>
    <x v="0"/>
    <x v="914"/>
    <n v="46"/>
    <x v="2"/>
    <n v="401.64"/>
    <n v="757.26"/>
    <s v="New"/>
    <n v="0.21"/>
    <s v="Credit Card"/>
    <s v="Retail"/>
    <x v="19"/>
  </r>
  <r>
    <x v="82"/>
    <x v="143"/>
    <s v="David"/>
    <x v="2"/>
    <x v="915"/>
    <n v="11"/>
    <x v="2"/>
    <n v="4100.62"/>
    <n v="4230"/>
    <s v="New"/>
    <n v="0.28999999999999998"/>
    <s v="Bank Transfer"/>
    <s v="Online"/>
    <x v="2"/>
  </r>
  <r>
    <x v="50"/>
    <x v="335"/>
    <s v="Alice"/>
    <x v="0"/>
    <x v="916"/>
    <n v="28"/>
    <x v="1"/>
    <n v="1711.63"/>
    <n v="1951.24"/>
    <s v="New"/>
    <n v="0.22"/>
    <s v="Cash"/>
    <s v="Online"/>
    <x v="15"/>
  </r>
  <r>
    <x v="4"/>
    <x v="127"/>
    <s v="Bob"/>
    <x v="2"/>
    <x v="917"/>
    <n v="41"/>
    <x v="0"/>
    <n v="2894.18"/>
    <n v="3193.92"/>
    <s v="New"/>
    <n v="0.28000000000000003"/>
    <s v="Bank Transfer"/>
    <s v="Retail"/>
    <x v="3"/>
  </r>
  <r>
    <x v="32"/>
    <x v="231"/>
    <s v="David"/>
    <x v="2"/>
    <x v="918"/>
    <n v="23"/>
    <x v="0"/>
    <n v="2598.1799999999998"/>
    <n v="3042.73"/>
    <s v="Returning"/>
    <n v="0.24"/>
    <s v="Credit Card"/>
    <s v="Online"/>
    <x v="2"/>
  </r>
  <r>
    <x v="88"/>
    <x v="291"/>
    <s v="Charlie"/>
    <x v="1"/>
    <x v="919"/>
    <n v="45"/>
    <x v="2"/>
    <n v="2590.64"/>
    <n v="3036.18"/>
    <s v="New"/>
    <n v="0.05"/>
    <s v="Bank Transfer"/>
    <s v="Retail"/>
    <x v="5"/>
  </r>
  <r>
    <x v="5"/>
    <x v="260"/>
    <s v="David"/>
    <x v="2"/>
    <x v="920"/>
    <n v="23"/>
    <x v="1"/>
    <n v="580.75"/>
    <n v="956.16"/>
    <s v="Returning"/>
    <n v="7.0000000000000007E-2"/>
    <s v="Cash"/>
    <s v="Retail"/>
    <x v="2"/>
  </r>
  <r>
    <x v="68"/>
    <x v="197"/>
    <s v="Alice"/>
    <x v="2"/>
    <x v="921"/>
    <n v="28"/>
    <x v="0"/>
    <n v="2146.2399999999998"/>
    <n v="2173.4699999999998"/>
    <s v="Returning"/>
    <n v="0.1"/>
    <s v="Cash"/>
    <s v="Retail"/>
    <x v="9"/>
  </r>
  <r>
    <x v="60"/>
    <x v="34"/>
    <s v="Charlie"/>
    <x v="0"/>
    <x v="922"/>
    <n v="43"/>
    <x v="0"/>
    <n v="2289.2199999999998"/>
    <n v="2581"/>
    <s v="New"/>
    <n v="0.05"/>
    <s v="Bank Transfer"/>
    <s v="Online"/>
    <x v="19"/>
  </r>
  <r>
    <x v="28"/>
    <x v="241"/>
    <s v="Bob"/>
    <x v="3"/>
    <x v="923"/>
    <n v="47"/>
    <x v="0"/>
    <n v="3681.53"/>
    <n v="4076.96"/>
    <s v="Returning"/>
    <n v="0.17"/>
    <s v="Cash"/>
    <s v="Retail"/>
    <x v="12"/>
  </r>
  <r>
    <x v="27"/>
    <x v="322"/>
    <s v="Charlie"/>
    <x v="1"/>
    <x v="924"/>
    <n v="26"/>
    <x v="3"/>
    <n v="4208.09"/>
    <n v="4226.5600000000004"/>
    <s v="Returning"/>
    <n v="0.28999999999999998"/>
    <s v="Cash"/>
    <s v="Retail"/>
    <x v="5"/>
  </r>
  <r>
    <x v="4"/>
    <x v="2"/>
    <s v="Charlie"/>
    <x v="2"/>
    <x v="925"/>
    <n v="25"/>
    <x v="1"/>
    <n v="2747.66"/>
    <n v="3027.0099999999902"/>
    <s v="New"/>
    <n v="0.23"/>
    <s v="Cash"/>
    <s v="Online"/>
    <x v="10"/>
  </r>
  <r>
    <x v="13"/>
    <x v="90"/>
    <s v="Eve"/>
    <x v="1"/>
    <x v="926"/>
    <n v="29"/>
    <x v="0"/>
    <n v="479.58"/>
    <n v="909.88"/>
    <s v="Returning"/>
    <n v="0.13"/>
    <s v="Credit Card"/>
    <s v="Retail"/>
    <x v="8"/>
  </r>
  <r>
    <x v="5"/>
    <x v="68"/>
    <s v="Charlie"/>
    <x v="0"/>
    <x v="927"/>
    <n v="19"/>
    <x v="3"/>
    <n v="1222.4000000000001"/>
    <n v="1464.71"/>
    <s v="New"/>
    <n v="0"/>
    <s v="Credit Card"/>
    <s v="Retail"/>
    <x v="19"/>
  </r>
  <r>
    <x v="86"/>
    <x v="336"/>
    <s v="Charlie"/>
    <x v="2"/>
    <x v="928"/>
    <n v="33"/>
    <x v="1"/>
    <n v="866.42"/>
    <n v="878.43"/>
    <s v="New"/>
    <n v="0.09"/>
    <s v="Cash"/>
    <s v="Retail"/>
    <x v="10"/>
  </r>
  <r>
    <x v="66"/>
    <x v="24"/>
    <s v="David"/>
    <x v="0"/>
    <x v="929"/>
    <n v="36"/>
    <x v="0"/>
    <n v="666.84"/>
    <n v="682.24"/>
    <s v="New"/>
    <n v="0.16"/>
    <s v="Bank Transfer"/>
    <s v="Retail"/>
    <x v="11"/>
  </r>
  <r>
    <x v="68"/>
    <x v="76"/>
    <s v="Bob"/>
    <x v="1"/>
    <x v="930"/>
    <n v="14"/>
    <x v="2"/>
    <n v="1861.2"/>
    <n v="2075.35"/>
    <s v="Returning"/>
    <n v="0.1"/>
    <s v="Credit Card"/>
    <s v="Retail"/>
    <x v="1"/>
  </r>
  <r>
    <x v="70"/>
    <x v="24"/>
    <s v="David"/>
    <x v="0"/>
    <x v="931"/>
    <n v="14"/>
    <x v="3"/>
    <n v="1185.5"/>
    <n v="1271.45"/>
    <s v="Returning"/>
    <n v="0.03"/>
    <s v="Bank Transfer"/>
    <s v="Retail"/>
    <x v="11"/>
  </r>
  <r>
    <x v="41"/>
    <x v="1"/>
    <s v="David"/>
    <x v="1"/>
    <x v="932"/>
    <n v="35"/>
    <x v="3"/>
    <n v="1130.5999999999999"/>
    <n v="1466.1799999999901"/>
    <s v="Returning"/>
    <n v="0.13"/>
    <s v="Cash"/>
    <s v="Online"/>
    <x v="13"/>
  </r>
  <r>
    <x v="98"/>
    <x v="175"/>
    <s v="Alice"/>
    <x v="0"/>
    <x v="933"/>
    <n v="30"/>
    <x v="0"/>
    <n v="320.73"/>
    <n v="678.04"/>
    <s v="Returning"/>
    <n v="0.08"/>
    <s v="Cash"/>
    <s v="Retail"/>
    <x v="15"/>
  </r>
  <r>
    <x v="54"/>
    <x v="212"/>
    <s v="David"/>
    <x v="1"/>
    <x v="934"/>
    <n v="28"/>
    <x v="0"/>
    <n v="137.47"/>
    <n v="234.63"/>
    <s v="New"/>
    <n v="0.27"/>
    <s v="Bank Transfer"/>
    <s v="Retail"/>
    <x v="13"/>
  </r>
  <r>
    <x v="24"/>
    <x v="76"/>
    <s v="Eve"/>
    <x v="3"/>
    <x v="935"/>
    <n v="17"/>
    <x v="3"/>
    <n v="558.70000000000005"/>
    <n v="1004.08"/>
    <s v="Returning"/>
    <n v="0.03"/>
    <s v="Credit Card"/>
    <s v="Online"/>
    <x v="14"/>
  </r>
  <r>
    <x v="47"/>
    <x v="328"/>
    <s v="Eve"/>
    <x v="0"/>
    <x v="936"/>
    <n v="3"/>
    <x v="2"/>
    <n v="902.38"/>
    <n v="1128.9100000000001"/>
    <s v="New"/>
    <n v="0.01"/>
    <s v="Bank Transfer"/>
    <s v="Retail"/>
    <x v="7"/>
  </r>
  <r>
    <x v="41"/>
    <x v="310"/>
    <s v="Alice"/>
    <x v="0"/>
    <x v="937"/>
    <n v="16"/>
    <x v="2"/>
    <n v="2183.37"/>
    <n v="2263.3599999999901"/>
    <s v="Returning"/>
    <n v="0"/>
    <s v="Bank Transfer"/>
    <s v="Retail"/>
    <x v="15"/>
  </r>
  <r>
    <x v="64"/>
    <x v="320"/>
    <s v="Bob"/>
    <x v="3"/>
    <x v="938"/>
    <n v="46"/>
    <x v="1"/>
    <n v="2577.08"/>
    <n v="2961.56"/>
    <s v="Returning"/>
    <n v="0.1"/>
    <s v="Cash"/>
    <s v="Online"/>
    <x v="12"/>
  </r>
  <r>
    <x v="75"/>
    <x v="285"/>
    <s v="Bob"/>
    <x v="3"/>
    <x v="939"/>
    <n v="30"/>
    <x v="0"/>
    <n v="745.93"/>
    <n v="1143.02"/>
    <s v="Returning"/>
    <n v="0.2"/>
    <s v="Credit Card"/>
    <s v="Online"/>
    <x v="12"/>
  </r>
  <r>
    <x v="35"/>
    <x v="152"/>
    <s v="David"/>
    <x v="0"/>
    <x v="940"/>
    <n v="29"/>
    <x v="2"/>
    <n v="2152.6799999999998"/>
    <n v="2475.9299999999998"/>
    <s v="Returning"/>
    <n v="0.22"/>
    <s v="Bank Transfer"/>
    <s v="Online"/>
    <x v="11"/>
  </r>
  <r>
    <x v="61"/>
    <x v="158"/>
    <s v="David"/>
    <x v="3"/>
    <x v="941"/>
    <n v="45"/>
    <x v="1"/>
    <n v="1741.66"/>
    <n v="2169.86"/>
    <s v="Returning"/>
    <n v="0.14000000000000001"/>
    <s v="Credit Card"/>
    <s v="Online"/>
    <x v="16"/>
  </r>
  <r>
    <x v="31"/>
    <x v="217"/>
    <s v="David"/>
    <x v="2"/>
    <x v="942"/>
    <n v="15"/>
    <x v="2"/>
    <n v="957.95"/>
    <n v="1329.26"/>
    <s v="New"/>
    <n v="0.21"/>
    <s v="Cash"/>
    <s v="Online"/>
    <x v="2"/>
  </r>
  <r>
    <x v="74"/>
    <x v="242"/>
    <s v="Bob"/>
    <x v="1"/>
    <x v="943"/>
    <n v="46"/>
    <x v="0"/>
    <n v="83.86"/>
    <n v="526.14"/>
    <s v="Returning"/>
    <n v="0.11"/>
    <s v="Credit Card"/>
    <s v="Online"/>
    <x v="1"/>
  </r>
  <r>
    <x v="87"/>
    <x v="107"/>
    <s v="Charlie"/>
    <x v="1"/>
    <x v="944"/>
    <n v="25"/>
    <x v="1"/>
    <n v="2361.7399999999998"/>
    <n v="2584.35"/>
    <s v="Returning"/>
    <n v="0.2"/>
    <s v="Cash"/>
    <s v="Online"/>
    <x v="5"/>
  </r>
  <r>
    <x v="79"/>
    <x v="267"/>
    <s v="Eve"/>
    <x v="1"/>
    <x v="945"/>
    <n v="38"/>
    <x v="1"/>
    <n v="3443.98"/>
    <n v="3820.3"/>
    <s v="Returning"/>
    <n v="0.01"/>
    <s v="Credit Card"/>
    <s v="Retail"/>
    <x v="8"/>
  </r>
  <r>
    <x v="53"/>
    <x v="202"/>
    <s v="Charlie"/>
    <x v="2"/>
    <x v="946"/>
    <n v="42"/>
    <x v="1"/>
    <n v="1170.07"/>
    <n v="1669.94999999999"/>
    <s v="Returning"/>
    <n v="0.12"/>
    <s v="Bank Transfer"/>
    <s v="Retail"/>
    <x v="10"/>
  </r>
  <r>
    <x v="57"/>
    <x v="267"/>
    <s v="Charlie"/>
    <x v="3"/>
    <x v="947"/>
    <n v="47"/>
    <x v="2"/>
    <n v="702.44"/>
    <n v="1067.6600000000001"/>
    <s v="New"/>
    <n v="0.24"/>
    <s v="Cash"/>
    <s v="Retail"/>
    <x v="4"/>
  </r>
  <r>
    <x v="4"/>
    <x v="170"/>
    <s v="Bob"/>
    <x v="3"/>
    <x v="948"/>
    <n v="38"/>
    <x v="0"/>
    <n v="4440.8599999999997"/>
    <n v="4506.8099999999904"/>
    <s v="Returning"/>
    <n v="0.24"/>
    <s v="Bank Transfer"/>
    <s v="Online"/>
    <x v="12"/>
  </r>
  <r>
    <x v="48"/>
    <x v="275"/>
    <s v="Charlie"/>
    <x v="0"/>
    <x v="949"/>
    <n v="23"/>
    <x v="1"/>
    <n v="1411.37"/>
    <n v="1675.35"/>
    <s v="New"/>
    <n v="0.21"/>
    <s v="Cash"/>
    <s v="Retail"/>
    <x v="19"/>
  </r>
  <r>
    <x v="61"/>
    <x v="30"/>
    <s v="Alice"/>
    <x v="3"/>
    <x v="950"/>
    <n v="25"/>
    <x v="3"/>
    <n v="1156.8800000000001"/>
    <n v="1454.68"/>
    <s v="Returning"/>
    <n v="0.06"/>
    <s v="Credit Card"/>
    <s v="Online"/>
    <x v="18"/>
  </r>
  <r>
    <x v="49"/>
    <x v="247"/>
    <s v="David"/>
    <x v="0"/>
    <x v="951"/>
    <n v="42"/>
    <x v="0"/>
    <n v="4292.63"/>
    <n v="4387.99"/>
    <s v="New"/>
    <n v="7.0000000000000007E-2"/>
    <s v="Credit Card"/>
    <s v="Retail"/>
    <x v="11"/>
  </r>
  <r>
    <x v="66"/>
    <x v="216"/>
    <s v="Alice"/>
    <x v="2"/>
    <x v="952"/>
    <n v="7"/>
    <x v="3"/>
    <n v="4094.68"/>
    <n v="4576.5"/>
    <s v="New"/>
    <n v="0.3"/>
    <s v="Cash"/>
    <s v="Retail"/>
    <x v="9"/>
  </r>
  <r>
    <x v="45"/>
    <x v="164"/>
    <s v="Eve"/>
    <x v="1"/>
    <x v="953"/>
    <n v="22"/>
    <x v="3"/>
    <n v="2269.3200000000002"/>
    <n v="2365.35"/>
    <s v="New"/>
    <n v="0.03"/>
    <s v="Cash"/>
    <s v="Retail"/>
    <x v="8"/>
  </r>
  <r>
    <x v="73"/>
    <x v="337"/>
    <s v="David"/>
    <x v="1"/>
    <x v="954"/>
    <n v="17"/>
    <x v="1"/>
    <n v="2471.73"/>
    <n v="2568.73"/>
    <s v="New"/>
    <n v="0.05"/>
    <s v="Cash"/>
    <s v="Retail"/>
    <x v="13"/>
  </r>
  <r>
    <x v="0"/>
    <x v="64"/>
    <s v="Charlie"/>
    <x v="1"/>
    <x v="955"/>
    <n v="18"/>
    <x v="1"/>
    <n v="1127.8599999999999"/>
    <n v="1586.29"/>
    <s v="New"/>
    <n v="0.04"/>
    <s v="Credit Card"/>
    <s v="Online"/>
    <x v="5"/>
  </r>
  <r>
    <x v="76"/>
    <x v="46"/>
    <s v="Eve"/>
    <x v="3"/>
    <x v="956"/>
    <n v="49"/>
    <x v="2"/>
    <n v="437.59"/>
    <n v="675.54"/>
    <s v="Returning"/>
    <n v="0.1"/>
    <s v="Cash"/>
    <s v="Online"/>
    <x v="14"/>
  </r>
  <r>
    <x v="31"/>
    <x v="338"/>
    <s v="David"/>
    <x v="0"/>
    <x v="957"/>
    <n v="41"/>
    <x v="2"/>
    <n v="2888.49"/>
    <n v="2929.45"/>
    <s v="New"/>
    <n v="0.06"/>
    <s v="Cash"/>
    <s v="Retail"/>
    <x v="11"/>
  </r>
  <r>
    <x v="87"/>
    <x v="223"/>
    <s v="Charlie"/>
    <x v="0"/>
    <x v="958"/>
    <n v="10"/>
    <x v="2"/>
    <n v="536.80999999999995"/>
    <n v="839.92"/>
    <s v="Returning"/>
    <n v="0.15"/>
    <s v="Bank Transfer"/>
    <s v="Online"/>
    <x v="19"/>
  </r>
  <r>
    <x v="74"/>
    <x v="117"/>
    <s v="Alice"/>
    <x v="2"/>
    <x v="959"/>
    <n v="10"/>
    <x v="0"/>
    <n v="2273.91"/>
    <n v="2578.7999999999902"/>
    <s v="New"/>
    <n v="0.14000000000000001"/>
    <s v="Cash"/>
    <s v="Online"/>
    <x v="9"/>
  </r>
  <r>
    <x v="39"/>
    <x v="276"/>
    <s v="David"/>
    <x v="3"/>
    <x v="960"/>
    <n v="7"/>
    <x v="2"/>
    <n v="4705.46"/>
    <n v="4747.07"/>
    <s v="New"/>
    <n v="0.27"/>
    <s v="Bank Transfer"/>
    <s v="Retail"/>
    <x v="16"/>
  </r>
  <r>
    <x v="41"/>
    <x v="108"/>
    <s v="Charlie"/>
    <x v="2"/>
    <x v="961"/>
    <n v="48"/>
    <x v="3"/>
    <n v="4766.53"/>
    <n v="5253.07"/>
    <s v="Returning"/>
    <n v="0.01"/>
    <s v="Bank Transfer"/>
    <s v="Online"/>
    <x v="10"/>
  </r>
  <r>
    <x v="69"/>
    <x v="252"/>
    <s v="Alice"/>
    <x v="0"/>
    <x v="962"/>
    <n v="38"/>
    <x v="2"/>
    <n v="1234.69"/>
    <n v="1511.26"/>
    <s v="New"/>
    <n v="0.1"/>
    <s v="Bank Transfer"/>
    <s v="Online"/>
    <x v="15"/>
  </r>
  <r>
    <x v="7"/>
    <x v="47"/>
    <s v="Eve"/>
    <x v="0"/>
    <x v="963"/>
    <n v="27"/>
    <x v="1"/>
    <n v="3139.36"/>
    <n v="3423.66"/>
    <s v="New"/>
    <n v="0.18"/>
    <s v="Credit Card"/>
    <s v="Online"/>
    <x v="7"/>
  </r>
  <r>
    <x v="47"/>
    <x v="218"/>
    <s v="Eve"/>
    <x v="1"/>
    <x v="964"/>
    <n v="33"/>
    <x v="2"/>
    <n v="2396.6799999999998"/>
    <n v="2661.54"/>
    <s v="New"/>
    <n v="0.18"/>
    <s v="Bank Transfer"/>
    <s v="Online"/>
    <x v="8"/>
  </r>
  <r>
    <x v="9"/>
    <x v="187"/>
    <s v="Eve"/>
    <x v="3"/>
    <x v="965"/>
    <n v="1"/>
    <x v="0"/>
    <n v="4384.6400000000003"/>
    <n v="4693.8999999999996"/>
    <s v="New"/>
    <n v="0.14000000000000001"/>
    <s v="Cash"/>
    <s v="Retail"/>
    <x v="14"/>
  </r>
  <r>
    <x v="15"/>
    <x v="16"/>
    <s v="Eve"/>
    <x v="0"/>
    <x v="966"/>
    <n v="44"/>
    <x v="0"/>
    <n v="1393.58"/>
    <n v="1533.09"/>
    <s v="Returning"/>
    <n v="0.24"/>
    <s v="Credit Card"/>
    <s v="Retail"/>
    <x v="7"/>
  </r>
  <r>
    <x v="61"/>
    <x v="299"/>
    <s v="Bob"/>
    <x v="1"/>
    <x v="967"/>
    <n v="34"/>
    <x v="3"/>
    <n v="68.33"/>
    <n v="219.07999999999899"/>
    <s v="New"/>
    <n v="0.02"/>
    <s v="Credit Card"/>
    <s v="Online"/>
    <x v="1"/>
  </r>
  <r>
    <x v="39"/>
    <x v="317"/>
    <s v="David"/>
    <x v="3"/>
    <x v="968"/>
    <n v="4"/>
    <x v="0"/>
    <n v="854.68"/>
    <n v="1115.24"/>
    <s v="New"/>
    <n v="0.24"/>
    <s v="Credit Card"/>
    <s v="Retail"/>
    <x v="16"/>
  </r>
  <r>
    <x v="26"/>
    <x v="258"/>
    <s v="David"/>
    <x v="2"/>
    <x v="969"/>
    <n v="17"/>
    <x v="2"/>
    <n v="1780.14"/>
    <n v="2185.42"/>
    <s v="Returning"/>
    <n v="0.15"/>
    <s v="Credit Card"/>
    <s v="Retail"/>
    <x v="2"/>
  </r>
  <r>
    <x v="87"/>
    <x v="92"/>
    <s v="Bob"/>
    <x v="3"/>
    <x v="970"/>
    <n v="4"/>
    <x v="1"/>
    <n v="1612.82"/>
    <n v="1647.25"/>
    <s v="Returning"/>
    <n v="0.04"/>
    <s v="Credit Card"/>
    <s v="Retail"/>
    <x v="12"/>
  </r>
  <r>
    <x v="34"/>
    <x v="229"/>
    <s v="Charlie"/>
    <x v="3"/>
    <x v="971"/>
    <n v="43"/>
    <x v="0"/>
    <n v="3967.25"/>
    <n v="4272.92"/>
    <s v="New"/>
    <n v="0.27"/>
    <s v="Credit Card"/>
    <s v="Online"/>
    <x v="4"/>
  </r>
  <r>
    <x v="12"/>
    <x v="198"/>
    <s v="Charlie"/>
    <x v="0"/>
    <x v="972"/>
    <n v="26"/>
    <x v="3"/>
    <n v="3418.78"/>
    <n v="3824.1"/>
    <s v="New"/>
    <n v="0.19"/>
    <s v="Credit Card"/>
    <s v="Online"/>
    <x v="19"/>
  </r>
  <r>
    <x v="71"/>
    <x v="166"/>
    <s v="Eve"/>
    <x v="0"/>
    <x v="973"/>
    <n v="4"/>
    <x v="2"/>
    <n v="1532.8"/>
    <n v="1619.69"/>
    <s v="Returning"/>
    <n v="0.05"/>
    <s v="Bank Transfer"/>
    <s v="Retail"/>
    <x v="7"/>
  </r>
  <r>
    <x v="37"/>
    <x v="30"/>
    <s v="Alice"/>
    <x v="3"/>
    <x v="974"/>
    <n v="1"/>
    <x v="3"/>
    <n v="2315.83"/>
    <n v="2333.19"/>
    <s v="New"/>
    <n v="0.01"/>
    <s v="Cash"/>
    <s v="Retail"/>
    <x v="18"/>
  </r>
  <r>
    <x v="17"/>
    <x v="86"/>
    <s v="Charlie"/>
    <x v="0"/>
    <x v="975"/>
    <n v="7"/>
    <x v="0"/>
    <n v="523.02"/>
    <n v="686.25"/>
    <s v="Returning"/>
    <n v="0.04"/>
    <s v="Cash"/>
    <s v="Online"/>
    <x v="19"/>
  </r>
  <r>
    <x v="73"/>
    <x v="329"/>
    <s v="Alice"/>
    <x v="0"/>
    <x v="976"/>
    <n v="30"/>
    <x v="0"/>
    <n v="4495.82"/>
    <n v="4794.0099999999902"/>
    <s v="New"/>
    <n v="0.18"/>
    <s v="Bank Transfer"/>
    <s v="Retail"/>
    <x v="15"/>
  </r>
  <r>
    <x v="2"/>
    <x v="339"/>
    <s v="David"/>
    <x v="0"/>
    <x v="977"/>
    <n v="9"/>
    <x v="3"/>
    <n v="4680.3500000000004"/>
    <n v="4758.1099999999997"/>
    <s v="Returning"/>
    <n v="0.05"/>
    <s v="Bank Transfer"/>
    <s v="Online"/>
    <x v="11"/>
  </r>
  <r>
    <x v="18"/>
    <x v="111"/>
    <s v="Alice"/>
    <x v="1"/>
    <x v="978"/>
    <n v="35"/>
    <x v="2"/>
    <n v="4900.03"/>
    <n v="5118.83"/>
    <s v="Returning"/>
    <n v="7.0000000000000007E-2"/>
    <s v="Credit Card"/>
    <s v="Retail"/>
    <x v="17"/>
  </r>
  <r>
    <x v="23"/>
    <x v="136"/>
    <s v="David"/>
    <x v="1"/>
    <x v="979"/>
    <n v="8"/>
    <x v="0"/>
    <n v="4349.34"/>
    <n v="4629.9799999999996"/>
    <s v="Returning"/>
    <n v="0.01"/>
    <s v="Credit Card"/>
    <s v="Online"/>
    <x v="13"/>
  </r>
  <r>
    <x v="69"/>
    <x v="82"/>
    <s v="Bob"/>
    <x v="3"/>
    <x v="153"/>
    <n v="24"/>
    <x v="1"/>
    <n v="911.11"/>
    <n v="1214.56"/>
    <s v="New"/>
    <n v="0.22"/>
    <s v="Bank Transfer"/>
    <s v="Online"/>
    <x v="12"/>
  </r>
  <r>
    <x v="55"/>
    <x v="22"/>
    <s v="Bob"/>
    <x v="0"/>
    <x v="980"/>
    <n v="19"/>
    <x v="0"/>
    <n v="278.67"/>
    <n v="423.13"/>
    <s v="New"/>
    <n v="0.24"/>
    <s v="Credit Card"/>
    <s v="Online"/>
    <x v="0"/>
  </r>
  <r>
    <x v="36"/>
    <x v="97"/>
    <s v="Eve"/>
    <x v="1"/>
    <x v="981"/>
    <n v="36"/>
    <x v="2"/>
    <n v="2919"/>
    <n v="3125.01"/>
    <s v="New"/>
    <n v="0.24"/>
    <s v="Cash"/>
    <s v="Online"/>
    <x v="8"/>
  </r>
  <r>
    <x v="84"/>
    <x v="130"/>
    <s v="Charlie"/>
    <x v="3"/>
    <x v="982"/>
    <n v="43"/>
    <x v="0"/>
    <n v="4567.3900000000003"/>
    <n v="4958.78"/>
    <s v="New"/>
    <n v="0.04"/>
    <s v="Cash"/>
    <s v="Retail"/>
    <x v="4"/>
  </r>
  <r>
    <x v="90"/>
    <x v="332"/>
    <s v="Eve"/>
    <x v="0"/>
    <x v="983"/>
    <n v="27"/>
    <x v="3"/>
    <n v="927.89"/>
    <n v="1399.09"/>
    <s v="Returning"/>
    <n v="0.27"/>
    <s v="Credit Card"/>
    <s v="Online"/>
    <x v="7"/>
  </r>
  <r>
    <x v="74"/>
    <x v="62"/>
    <s v="David"/>
    <x v="2"/>
    <x v="984"/>
    <n v="32"/>
    <x v="0"/>
    <n v="84.86"/>
    <n v="517.17999999999995"/>
    <s v="Returning"/>
    <n v="0.2"/>
    <s v="Credit Card"/>
    <s v="Retail"/>
    <x v="2"/>
  </r>
  <r>
    <x v="41"/>
    <x v="21"/>
    <s v="Eve"/>
    <x v="0"/>
    <x v="985"/>
    <n v="14"/>
    <x v="0"/>
    <n v="4037.21"/>
    <n v="4323.71"/>
    <s v="Returning"/>
    <n v="0.27"/>
    <s v="Credit Card"/>
    <s v="Online"/>
    <x v="7"/>
  </r>
  <r>
    <x v="44"/>
    <x v="36"/>
    <s v="Alice"/>
    <x v="0"/>
    <x v="986"/>
    <n v="18"/>
    <x v="2"/>
    <n v="430.14"/>
    <n v="641.17999999999995"/>
    <s v="New"/>
    <n v="0.13"/>
    <s v="Cash"/>
    <s v="Online"/>
    <x v="15"/>
  </r>
  <r>
    <x v="97"/>
    <x v="174"/>
    <s v="David"/>
    <x v="1"/>
    <x v="987"/>
    <n v="28"/>
    <x v="3"/>
    <n v="2097.84"/>
    <n v="2270.9899999999998"/>
    <s v="New"/>
    <n v="0.13"/>
    <s v="Credit Card"/>
    <s v="Retail"/>
    <x v="13"/>
  </r>
  <r>
    <x v="90"/>
    <x v="54"/>
    <s v="Bob"/>
    <x v="3"/>
    <x v="988"/>
    <n v="29"/>
    <x v="2"/>
    <n v="3410.49"/>
    <n v="3481.72"/>
    <s v="New"/>
    <n v="0.24"/>
    <s v="Bank Transfer"/>
    <s v="Retail"/>
    <x v="12"/>
  </r>
  <r>
    <x v="81"/>
    <x v="26"/>
    <s v="Charlie"/>
    <x v="3"/>
    <x v="989"/>
    <n v="16"/>
    <x v="0"/>
    <n v="1222.1500000000001"/>
    <n v="1284.3599999999999"/>
    <s v="Returning"/>
    <n v="0.03"/>
    <s v="Credit Card"/>
    <s v="Retail"/>
    <x v="4"/>
  </r>
  <r>
    <x v="42"/>
    <x v="331"/>
    <s v="David"/>
    <x v="1"/>
    <x v="990"/>
    <n v="35"/>
    <x v="1"/>
    <n v="465.61"/>
    <n v="812.91"/>
    <s v="New"/>
    <n v="0.16"/>
    <s v="Bank Transfer"/>
    <s v="Online"/>
    <x v="13"/>
  </r>
  <r>
    <x v="97"/>
    <x v="177"/>
    <s v="David"/>
    <x v="0"/>
    <x v="991"/>
    <n v="47"/>
    <x v="0"/>
    <n v="3861.61"/>
    <n v="3998.91"/>
    <s v="New"/>
    <n v="0.25"/>
    <s v="Credit Card"/>
    <s v="Online"/>
    <x v="11"/>
  </r>
  <r>
    <x v="89"/>
    <x v="209"/>
    <s v="Alice"/>
    <x v="2"/>
    <x v="992"/>
    <n v="31"/>
    <x v="2"/>
    <n v="3169.37"/>
    <n v="3304.15"/>
    <s v="Returning"/>
    <n v="0.25"/>
    <s v="Credit Card"/>
    <s v="Retail"/>
    <x v="9"/>
  </r>
  <r>
    <x v="99"/>
    <x v="297"/>
    <s v="Charlie"/>
    <x v="0"/>
    <x v="993"/>
    <n v="4"/>
    <x v="1"/>
    <n v="4943.03"/>
    <n v="5442.15"/>
    <s v="Returning"/>
    <n v="0.28999999999999998"/>
    <s v="Cash"/>
    <s v="Online"/>
    <x v="19"/>
  </r>
  <r>
    <x v="95"/>
    <x v="259"/>
    <s v="Bob"/>
    <x v="0"/>
    <x v="994"/>
    <n v="37"/>
    <x v="2"/>
    <n v="1754.32"/>
    <n v="1856.3999999999901"/>
    <s v="New"/>
    <n v="0.21"/>
    <s v="Bank Transfer"/>
    <s v="Retail"/>
    <x v="0"/>
  </r>
  <r>
    <x v="37"/>
    <x v="167"/>
    <s v="David"/>
    <x v="2"/>
    <x v="995"/>
    <n v="17"/>
    <x v="2"/>
    <n v="355.72"/>
    <n v="438.27"/>
    <s v="Returning"/>
    <n v="0.06"/>
    <s v="Bank Transfer"/>
    <s v="Online"/>
    <x v="2"/>
  </r>
  <r>
    <x v="10"/>
    <x v="266"/>
    <s v="David"/>
    <x v="1"/>
    <x v="996"/>
    <n v="39"/>
    <x v="3"/>
    <n v="3685.03"/>
    <n v="3743.39"/>
    <s v="New"/>
    <n v="0.01"/>
    <s v="Bank Transfer"/>
    <s v="Online"/>
    <x v="13"/>
  </r>
  <r>
    <x v="74"/>
    <x v="132"/>
    <s v="Alice"/>
    <x v="3"/>
    <x v="997"/>
    <n v="48"/>
    <x v="1"/>
    <n v="2632.58"/>
    <n v="2926.68"/>
    <s v="Returning"/>
    <n v="0.14000000000000001"/>
    <s v="Cash"/>
    <s v="Online"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s v="Bob"/>
    <s v="North"/>
    <n v="5053.97"/>
    <n v="18"/>
    <x v="0"/>
    <n v="152.75"/>
    <n v="267.22000000000003"/>
    <s v="Returning"/>
    <n v="0.09"/>
    <s v="Cash"/>
    <s v="Online"/>
    <s v="North-Bob"/>
    <n v="2749.5"/>
    <n v="4809.9600000000009"/>
    <n v="2060.4600000000009"/>
  </r>
  <r>
    <n v="1093"/>
    <d v="2023-04-21T00:00:00"/>
    <s v="Bob"/>
    <s v="West"/>
    <n v="4384.0200000000004"/>
    <n v="17"/>
    <x v="0"/>
    <n v="3816.39"/>
    <n v="4209.4399999999996"/>
    <s v="Returning"/>
    <n v="0.11"/>
    <s v="Cash"/>
    <s v="Retail"/>
    <s v="West-Bob"/>
    <n v="64878.63"/>
    <n v="71560.479999999996"/>
    <n v="6681.8499999999985"/>
  </r>
  <r>
    <n v="1015"/>
    <d v="2023-09-21T00:00:00"/>
    <s v="David"/>
    <s v="South"/>
    <n v="4631.2299999999996"/>
    <n v="30"/>
    <x v="1"/>
    <n v="261.56"/>
    <n v="371.4"/>
    <s v="Returning"/>
    <n v="0.2"/>
    <s v="Bank Transfer"/>
    <s v="Retail"/>
    <s v="South-David"/>
    <n v="7846.8"/>
    <n v="11142"/>
    <n v="3295.2"/>
  </r>
  <r>
    <n v="1072"/>
    <d v="2023-08-24T00:00:00"/>
    <s v="Bob"/>
    <s v="South"/>
    <n v="2167.94"/>
    <n v="39"/>
    <x v="2"/>
    <n v="4330.03"/>
    <n v="4467.75"/>
    <s v="New"/>
    <n v="0.02"/>
    <s v="Credit Card"/>
    <s v="Retail"/>
    <s v="South-Bob"/>
    <n v="168871.16999999998"/>
    <n v="174242.25"/>
    <n v="5371.0800000000163"/>
  </r>
  <r>
    <n v="1061"/>
    <d v="2023-03-24T00:00:00"/>
    <s v="Charlie"/>
    <s v="East"/>
    <n v="3750.2"/>
    <n v="13"/>
    <x v="3"/>
    <n v="637.37"/>
    <n v="692.71"/>
    <s v="New"/>
    <n v="0.08"/>
    <s v="Credit Card"/>
    <s v="Online"/>
    <s v="East-Charlie"/>
    <n v="8285.81"/>
    <n v="9005.23"/>
    <n v="719.42000000000007"/>
  </r>
  <r>
    <n v="1021"/>
    <d v="2023-02-11T00:00:00"/>
    <s v="Charlie"/>
    <s v="West"/>
    <n v="3761.15"/>
    <n v="32"/>
    <x v="1"/>
    <n v="900.79"/>
    <n v="1106.51"/>
    <s v="New"/>
    <n v="0.21"/>
    <s v="Cash"/>
    <s v="Online"/>
    <s v="West-Charlie"/>
    <n v="28825.279999999999"/>
    <n v="35408.32"/>
    <n v="6583.0400000000009"/>
  </r>
  <r>
    <n v="1083"/>
    <d v="2023-04-11T00:00:00"/>
    <s v="Bob"/>
    <s v="West"/>
    <n v="618.30999999999995"/>
    <n v="29"/>
    <x v="0"/>
    <n v="2408.81"/>
    <n v="2624.09"/>
    <s v="Returning"/>
    <n v="0.14000000000000001"/>
    <s v="Cash"/>
    <s v="Online"/>
    <s v="West-Bob"/>
    <n v="69855.490000000005"/>
    <n v="76098.61"/>
    <n v="6243.1199999999953"/>
  </r>
  <r>
    <n v="1087"/>
    <d v="2023-01-06T00:00:00"/>
    <s v="Eve"/>
    <s v="South"/>
    <n v="7698.92"/>
    <n v="46"/>
    <x v="0"/>
    <n v="3702.51"/>
    <n v="3964.65"/>
    <s v="New"/>
    <n v="0.12"/>
    <s v="Bank Transfer"/>
    <s v="Online"/>
    <s v="South-Eve"/>
    <n v="170315.46000000002"/>
    <n v="182373.9"/>
    <n v="12058.439999999973"/>
  </r>
  <r>
    <n v="1075"/>
    <d v="2023-06-29T00:00:00"/>
    <s v="David"/>
    <s v="South"/>
    <n v="4223.3900000000003"/>
    <n v="30"/>
    <x v="0"/>
    <n v="738.06"/>
    <n v="1095.44999999999"/>
    <s v="New"/>
    <n v="0.05"/>
    <s v="Bank Transfer"/>
    <s v="Online"/>
    <s v="South-David"/>
    <n v="22141.8"/>
    <n v="32863.499999999702"/>
    <n v="10721.699999999702"/>
  </r>
  <r>
    <n v="1075"/>
    <d v="2023-10-09T00:00:00"/>
    <s v="Charlie"/>
    <s v="West"/>
    <n v="8239.58"/>
    <n v="18"/>
    <x v="2"/>
    <n v="2228.35"/>
    <n v="2682.34"/>
    <s v="New"/>
    <n v="0.13"/>
    <s v="Bank Transfer"/>
    <s v="Online"/>
    <s v="West-Charlie"/>
    <n v="40110.299999999996"/>
    <n v="48282.12"/>
    <n v="8171.820000000007"/>
  </r>
  <r>
    <n v="1088"/>
    <d v="2023-11-16T00:00:00"/>
    <s v="Eve"/>
    <s v="North"/>
    <n v="8518.4500000000007"/>
    <n v="13"/>
    <x v="0"/>
    <n v="2440.11"/>
    <n v="2517.6"/>
    <s v="New"/>
    <n v="0.23"/>
    <s v="Bank Transfer"/>
    <s v="Retail"/>
    <s v="North-Eve"/>
    <n v="31721.43"/>
    <n v="32728.799999999999"/>
    <n v="1007.369999999999"/>
  </r>
  <r>
    <n v="1100"/>
    <d v="2023-08-14T00:00:00"/>
    <s v="Bob"/>
    <s v="West"/>
    <n v="2198.7399999999998"/>
    <n v="43"/>
    <x v="1"/>
    <n v="1100.81"/>
    <n v="1137.44"/>
    <s v="Returning"/>
    <n v="0.08"/>
    <s v="Bank Transfer"/>
    <s v="Online"/>
    <s v="West-Bob"/>
    <n v="47334.829999999994"/>
    <n v="48909.920000000006"/>
    <n v="1575.0900000000111"/>
  </r>
  <r>
    <n v="1024"/>
    <d v="2023-11-11T00:00:00"/>
    <s v="Eve"/>
    <s v="West"/>
    <n v="6607.8"/>
    <n v="21"/>
    <x v="1"/>
    <n v="622.01"/>
    <n v="641.09"/>
    <s v="Returning"/>
    <n v="0"/>
    <s v="Bank Transfer"/>
    <s v="Retail"/>
    <s v="West-Eve"/>
    <n v="13062.21"/>
    <n v="13462.890000000001"/>
    <n v="400.68000000000211"/>
  </r>
  <r>
    <n v="1003"/>
    <d v="2023-12-31T00:00:00"/>
    <s v="Alice"/>
    <s v="South"/>
    <n v="4775.59"/>
    <n v="30"/>
    <x v="0"/>
    <n v="4190.28"/>
    <n v="4270.6499999999996"/>
    <s v="New"/>
    <n v="0.2"/>
    <s v="Cash"/>
    <s v="Online"/>
    <s v="South-Alice"/>
    <n v="125708.4"/>
    <n v="128119.49999999999"/>
    <n v="2411.0999999999913"/>
  </r>
  <r>
    <n v="1022"/>
    <d v="2023-08-17T00:00:00"/>
    <s v="Charlie"/>
    <s v="South"/>
    <n v="8813.5499999999993"/>
    <n v="21"/>
    <x v="1"/>
    <n v="2537.1999999999998"/>
    <n v="2869.6"/>
    <s v="New"/>
    <n v="0.28999999999999998"/>
    <s v="Bank Transfer"/>
    <s v="Retail"/>
    <s v="South-Charlie"/>
    <n v="53281.2"/>
    <n v="60261.599999999999"/>
    <n v="6980.4000000000015"/>
  </r>
  <r>
    <n v="1053"/>
    <d v="2023-10-16T00:00:00"/>
    <s v="Bob"/>
    <s v="North"/>
    <n v="2235.83"/>
    <n v="48"/>
    <x v="0"/>
    <n v="121.19"/>
    <n v="487.65"/>
    <s v="New"/>
    <n v="0.18"/>
    <s v="Cash"/>
    <s v="Retail"/>
    <s v="North-Bob"/>
    <n v="5817.12"/>
    <n v="23407.199999999997"/>
    <n v="17590.079999999998"/>
  </r>
  <r>
    <n v="1002"/>
    <d v="2023-05-30T00:00:00"/>
    <s v="David"/>
    <s v="North"/>
    <n v="6810.35"/>
    <n v="17"/>
    <x v="0"/>
    <n v="4024.76"/>
    <n v="4420.1499999999996"/>
    <s v="Returning"/>
    <n v="0.04"/>
    <s v="Cash"/>
    <s v="Online"/>
    <s v="North-David"/>
    <n v="68420.92"/>
    <n v="75142.549999999988"/>
    <n v="6721.6299999999901"/>
  </r>
  <r>
    <n v="1088"/>
    <d v="2023-10-04T00:00:00"/>
    <s v="Bob"/>
    <s v="East"/>
    <n v="6116.75"/>
    <n v="40"/>
    <x v="3"/>
    <n v="4904.93"/>
    <n v="5034.3500000000004"/>
    <s v="New"/>
    <n v="0.1"/>
    <s v="Credit Card"/>
    <s v="Retail"/>
    <s v="East-Bob"/>
    <n v="196197.2"/>
    <n v="201374"/>
    <n v="5176.7999999999884"/>
  </r>
  <r>
    <n v="1030"/>
    <d v="2023-07-17T00:00:00"/>
    <s v="David"/>
    <s v="West"/>
    <n v="3023.48"/>
    <n v="19"/>
    <x v="2"/>
    <n v="3049.33"/>
    <n v="3209.22"/>
    <s v="Returning"/>
    <n v="0.26"/>
    <s v="Cash"/>
    <s v="Online"/>
    <s v="West-David"/>
    <n v="57937.27"/>
    <n v="60975.179999999993"/>
    <n v="3037.9099999999962"/>
  </r>
  <r>
    <n v="1038"/>
    <d v="2023-03-11T00:00:00"/>
    <s v="Bob"/>
    <s v="South"/>
    <n v="1452.35"/>
    <n v="15"/>
    <x v="2"/>
    <n v="2543.36"/>
    <n v="2790.1"/>
    <s v="Returning"/>
    <n v="7.0000000000000007E-2"/>
    <s v="Cash"/>
    <s v="Online"/>
    <s v="South-Bob"/>
    <n v="38150.400000000001"/>
    <n v="41851.5"/>
    <n v="3701.0999999999985"/>
  </r>
  <r>
    <n v="1002"/>
    <d v="2023-04-22T00:00:00"/>
    <s v="Eve"/>
    <s v="North"/>
    <n v="6551.23"/>
    <n v="9"/>
    <x v="3"/>
    <n v="4398.16"/>
    <n v="4439.12"/>
    <s v="New"/>
    <n v="0.18"/>
    <s v="Bank Transfer"/>
    <s v="Online"/>
    <s v="North-Eve"/>
    <n v="39583.440000000002"/>
    <n v="39952.080000000002"/>
    <n v="368.63999999999942"/>
  </r>
  <r>
    <n v="1064"/>
    <d v="2023-01-04T00:00:00"/>
    <s v="Eve"/>
    <s v="East"/>
    <n v="7412.11"/>
    <n v="10"/>
    <x v="3"/>
    <n v="4764.96"/>
    <n v="5074.42"/>
    <s v="New"/>
    <n v="0.12"/>
    <s v="Cash"/>
    <s v="Online"/>
    <s v="East-Eve"/>
    <n v="47649.599999999999"/>
    <n v="50744.2"/>
    <n v="3094.5999999999985"/>
  </r>
  <r>
    <n v="1060"/>
    <d v="2023-12-16T00:00:00"/>
    <s v="Eve"/>
    <s v="East"/>
    <n v="3224.71"/>
    <n v="44"/>
    <x v="2"/>
    <n v="3784.96"/>
    <n v="4276.99"/>
    <s v="New"/>
    <n v="0.06"/>
    <s v="Bank Transfer"/>
    <s v="Retail"/>
    <s v="East-Eve"/>
    <n v="166538.23999999999"/>
    <n v="188187.56"/>
    <n v="21649.320000000007"/>
  </r>
  <r>
    <n v="1021"/>
    <d v="2023-11-27T00:00:00"/>
    <s v="Alice"/>
    <s v="South"/>
    <n v="6483.84"/>
    <n v="31"/>
    <x v="0"/>
    <n v="2254.9899999999998"/>
    <n v="2441.79"/>
    <s v="Returning"/>
    <n v="0.24"/>
    <s v="Bank Transfer"/>
    <s v="Online"/>
    <s v="South-Alice"/>
    <n v="69904.689999999988"/>
    <n v="75695.490000000005"/>
    <n v="5790.8000000000175"/>
  </r>
  <r>
    <n v="1033"/>
    <d v="2023-11-14T00:00:00"/>
    <s v="David"/>
    <s v="South"/>
    <n v="4011.8"/>
    <n v="23"/>
    <x v="0"/>
    <n v="2981.5"/>
    <n v="3360.4"/>
    <s v="Returning"/>
    <n v="0.22"/>
    <s v="Bank Transfer"/>
    <s v="Retail"/>
    <s v="South-David"/>
    <n v="68574.5"/>
    <n v="77289.2"/>
    <n v="8714.6999999999971"/>
  </r>
  <r>
    <n v="1076"/>
    <d v="2023-12-16T00:00:00"/>
    <s v="Eve"/>
    <s v="East"/>
    <n v="7160.75"/>
    <n v="30"/>
    <x v="2"/>
    <n v="3519.63"/>
    <n v="3774.65"/>
    <s v="New"/>
    <n v="0.2"/>
    <s v="Credit Card"/>
    <s v="Retail"/>
    <s v="East-Eve"/>
    <n v="105588.90000000001"/>
    <n v="113239.5"/>
    <n v="7650.5999999999913"/>
  </r>
  <r>
    <n v="1058"/>
    <d v="2023-04-05T00:00:00"/>
    <s v="Alice"/>
    <s v="North"/>
    <n v="2072.23"/>
    <n v="33"/>
    <x v="0"/>
    <n v="1011.65"/>
    <n v="1084.28"/>
    <s v="Returning"/>
    <n v="7.0000000000000007E-2"/>
    <s v="Bank Transfer"/>
    <s v="Retail"/>
    <s v="North-Alice"/>
    <n v="33384.449999999997"/>
    <n v="35781.24"/>
    <n v="2396.7900000000009"/>
  </r>
  <r>
    <n v="1022"/>
    <d v="2023-06-01T00:00:00"/>
    <s v="David"/>
    <s v="East"/>
    <n v="8913.1299999999992"/>
    <n v="9"/>
    <x v="3"/>
    <n v="2263.65"/>
    <n v="2558.9499999999998"/>
    <s v="New"/>
    <n v="0.03"/>
    <s v="Cash"/>
    <s v="Online"/>
    <s v="East-David"/>
    <n v="20372.850000000002"/>
    <n v="23030.55"/>
    <n v="2657.6999999999971"/>
  </r>
  <r>
    <n v="1089"/>
    <d v="2023-11-07T00:00:00"/>
    <s v="Bob"/>
    <s v="West"/>
    <n v="2945.36"/>
    <n v="47"/>
    <x v="0"/>
    <n v="4157.62"/>
    <n v="4314.5599999999904"/>
    <s v="New"/>
    <n v="0.17"/>
    <s v="Bank Transfer"/>
    <s v="Retail"/>
    <s v="West-Bob"/>
    <n v="195408.13999999998"/>
    <n v="202784.31999999954"/>
    <n v="7376.1799999995565"/>
  </r>
  <r>
    <n v="1049"/>
    <d v="2023-05-17T00:00:00"/>
    <s v="Alice"/>
    <s v="West"/>
    <n v="3741.08"/>
    <n v="1"/>
    <x v="0"/>
    <n v="3290.89"/>
    <n v="3317.75"/>
    <s v="Returning"/>
    <n v="0.17"/>
    <s v="Bank Transfer"/>
    <s v="Online"/>
    <s v="West-Alice"/>
    <n v="3290.89"/>
    <n v="3317.75"/>
    <n v="26.860000000000127"/>
  </r>
  <r>
    <n v="1091"/>
    <d v="2023-09-04T00:00:00"/>
    <s v="Charlie"/>
    <s v="South"/>
    <n v="675.11"/>
    <n v="44"/>
    <x v="1"/>
    <n v="2085.46"/>
    <n v="2406.58"/>
    <s v="Returning"/>
    <n v="0.06"/>
    <s v="Bank Transfer"/>
    <s v="Retail"/>
    <s v="South-Charlie"/>
    <n v="91760.24"/>
    <n v="105889.51999999999"/>
    <n v="14129.279999999984"/>
  </r>
  <r>
    <n v="1059"/>
    <d v="2023-08-31T00:00:00"/>
    <s v="Alice"/>
    <s v="North"/>
    <n v="1203.97"/>
    <n v="35"/>
    <x v="1"/>
    <n v="3333.64"/>
    <n v="3764.52"/>
    <s v="Returning"/>
    <n v="0.02"/>
    <s v="Credit Card"/>
    <s v="Online"/>
    <s v="North-Alice"/>
    <n v="116677.4"/>
    <n v="131758.20000000001"/>
    <n v="15080.800000000017"/>
  </r>
  <r>
    <n v="1042"/>
    <d v="2023-01-31T00:00:00"/>
    <s v="Alice"/>
    <s v="North"/>
    <n v="5207.03"/>
    <n v="11"/>
    <x v="1"/>
    <n v="635.20000000000005"/>
    <n v="814.14"/>
    <s v="Returning"/>
    <n v="0.02"/>
    <s v="Cash"/>
    <s v="Online"/>
    <s v="North-Alice"/>
    <n v="6987.2000000000007"/>
    <n v="8955.5399999999991"/>
    <n v="1968.3399999999983"/>
  </r>
  <r>
    <n v="1092"/>
    <d v="2023-02-09T00:00:00"/>
    <s v="David"/>
    <s v="West"/>
    <n v="2749.17"/>
    <n v="34"/>
    <x v="0"/>
    <n v="2037.41"/>
    <n v="2238.65"/>
    <s v="New"/>
    <n v="0.3"/>
    <s v="Credit Card"/>
    <s v="Online"/>
    <s v="West-David"/>
    <n v="69271.94"/>
    <n v="76114.100000000006"/>
    <n v="6842.1600000000035"/>
  </r>
  <r>
    <n v="1060"/>
    <d v="2023-08-17T00:00:00"/>
    <s v="Bob"/>
    <s v="East"/>
    <n v="8371.25"/>
    <n v="16"/>
    <x v="2"/>
    <n v="3975.99"/>
    <n v="4422.59"/>
    <s v="New"/>
    <n v="0.24"/>
    <s v="Cash"/>
    <s v="Online"/>
    <s v="East-Bob"/>
    <n v="63615.839999999997"/>
    <n v="70761.440000000002"/>
    <n v="7145.6000000000058"/>
  </r>
  <r>
    <n v="1080"/>
    <d v="2023-02-05T00:00:00"/>
    <s v="Charlie"/>
    <s v="South"/>
    <n v="245.46"/>
    <n v="9"/>
    <x v="3"/>
    <n v="1141.52"/>
    <n v="1550.19"/>
    <s v="New"/>
    <n v="0.28000000000000003"/>
    <s v="Credit Card"/>
    <s v="Retail"/>
    <s v="South-Charlie"/>
    <n v="10273.68"/>
    <n v="13951.710000000001"/>
    <n v="3678.0300000000007"/>
  </r>
  <r>
    <n v="1015"/>
    <d v="2023-08-11T00:00:00"/>
    <s v="Eve"/>
    <s v="East"/>
    <n v="3853.03"/>
    <n v="32"/>
    <x v="0"/>
    <n v="970.51"/>
    <n v="1330.84"/>
    <s v="Returning"/>
    <n v="0.06"/>
    <s v="Cash"/>
    <s v="Retail"/>
    <s v="East-Eve"/>
    <n v="31056.32"/>
    <n v="42586.879999999997"/>
    <n v="11530.559999999998"/>
  </r>
  <r>
    <n v="1062"/>
    <d v="2023-01-06T00:00:00"/>
    <s v="Eve"/>
    <s v="East"/>
    <n v="3439.72"/>
    <n v="15"/>
    <x v="2"/>
    <n v="4756.55"/>
    <n v="4888.46"/>
    <s v="New"/>
    <n v="0.28999999999999998"/>
    <s v="Credit Card"/>
    <s v="Online"/>
    <s v="East-Eve"/>
    <n v="71348.25"/>
    <n v="73326.899999999994"/>
    <n v="1978.6499999999942"/>
  </r>
  <r>
    <n v="1062"/>
    <d v="2023-11-18T00:00:00"/>
    <s v="Alice"/>
    <s v="East"/>
    <n v="291.33999999999997"/>
    <n v="12"/>
    <x v="0"/>
    <n v="1088.99"/>
    <n v="1545"/>
    <s v="Returning"/>
    <n v="0.04"/>
    <s v="Bank Transfer"/>
    <s v="Retail"/>
    <s v="East-Alice"/>
    <n v="13067.880000000001"/>
    <n v="18540"/>
    <n v="5472.119999999999"/>
  </r>
  <r>
    <n v="1047"/>
    <d v="2023-08-08T00:00:00"/>
    <s v="David"/>
    <s v="North"/>
    <n v="1331.25"/>
    <n v="33"/>
    <x v="3"/>
    <n v="1341.55"/>
    <n v="1427.21"/>
    <s v="Returning"/>
    <n v="0.15"/>
    <s v="Credit Card"/>
    <s v="Online"/>
    <s v="North-David"/>
    <n v="44271.15"/>
    <n v="47097.93"/>
    <n v="2826.7799999999988"/>
  </r>
  <r>
    <n v="1062"/>
    <d v="2023-03-16T00:00:00"/>
    <s v="David"/>
    <s v="West"/>
    <n v="4195.0600000000004"/>
    <n v="45"/>
    <x v="0"/>
    <n v="4849.6000000000004"/>
    <n v="5166.72"/>
    <s v="Returning"/>
    <n v="0.25"/>
    <s v="Credit Card"/>
    <s v="Online"/>
    <s v="West-David"/>
    <n v="218232.00000000003"/>
    <n v="232502.40000000002"/>
    <n v="14270.399999999994"/>
  </r>
  <r>
    <n v="1051"/>
    <d v="2023-01-04T00:00:00"/>
    <s v="Eve"/>
    <s v="North"/>
    <n v="4979.3599999999997"/>
    <n v="14"/>
    <x v="3"/>
    <n v="3686.81"/>
    <n v="3710.92"/>
    <s v="New"/>
    <n v="0.1"/>
    <s v="Bank Transfer"/>
    <s v="Retail"/>
    <s v="North-Eve"/>
    <n v="51615.34"/>
    <n v="51952.880000000005"/>
    <n v="337.54000000000815"/>
  </r>
  <r>
    <n v="1055"/>
    <d v="2023-12-01T00:00:00"/>
    <s v="Charlie"/>
    <s v="West"/>
    <n v="4102.47"/>
    <n v="8"/>
    <x v="0"/>
    <n v="3513"/>
    <n v="3838.42"/>
    <s v="Returning"/>
    <n v="0.13"/>
    <s v="Bank Transfer"/>
    <s v="Online"/>
    <s v="West-Charlie"/>
    <n v="28104"/>
    <n v="30707.360000000001"/>
    <n v="2603.3600000000006"/>
  </r>
  <r>
    <n v="1064"/>
    <d v="2023-05-14T00:00:00"/>
    <s v="Bob"/>
    <s v="South"/>
    <n v="5356.28"/>
    <n v="8"/>
    <x v="3"/>
    <n v="4271.99"/>
    <n v="4417.79"/>
    <s v="Returning"/>
    <n v="0.04"/>
    <s v="Cash"/>
    <s v="Online"/>
    <s v="South-Bob"/>
    <n v="34175.919999999998"/>
    <n v="35342.32"/>
    <n v="1166.4000000000015"/>
  </r>
  <r>
    <n v="1003"/>
    <d v="2023-04-28T00:00:00"/>
    <s v="Charlie"/>
    <s v="South"/>
    <n v="5991.8"/>
    <n v="27"/>
    <x v="0"/>
    <n v="623.32000000000005"/>
    <n v="853.66"/>
    <s v="Returning"/>
    <n v="0.04"/>
    <s v="Cash"/>
    <s v="Online"/>
    <s v="South-Charlie"/>
    <n v="16829.640000000003"/>
    <n v="23048.82"/>
    <n v="6219.1799999999967"/>
  </r>
  <r>
    <n v="1051"/>
    <d v="2023-04-04T00:00:00"/>
    <s v="Bob"/>
    <s v="East"/>
    <n v="198.25"/>
    <n v="12"/>
    <x v="3"/>
    <n v="3544.48"/>
    <n v="3723.66"/>
    <s v="Returning"/>
    <n v="0.19"/>
    <s v="Cash"/>
    <s v="Online"/>
    <s v="East-Bob"/>
    <n v="42533.760000000002"/>
    <n v="44683.92"/>
    <n v="2150.1599999999962"/>
  </r>
  <r>
    <n v="1007"/>
    <d v="2023-03-03T00:00:00"/>
    <s v="Eve"/>
    <s v="West"/>
    <n v="4694.54"/>
    <n v="1"/>
    <x v="1"/>
    <n v="2543.2600000000002"/>
    <n v="2637.91"/>
    <s v="Returning"/>
    <n v="0.2"/>
    <s v="Credit Card"/>
    <s v="Online"/>
    <s v="West-Eve"/>
    <n v="2543.2600000000002"/>
    <n v="2637.91"/>
    <n v="94.649999999999636"/>
  </r>
  <r>
    <n v="1021"/>
    <d v="2023-07-13T00:00:00"/>
    <s v="Bob"/>
    <s v="West"/>
    <n v="9638.64"/>
    <n v="43"/>
    <x v="0"/>
    <n v="4154.3"/>
    <n v="4469.07"/>
    <s v="Returning"/>
    <n v="0.23"/>
    <s v="Cash"/>
    <s v="Retail"/>
    <s v="West-Bob"/>
    <n v="178634.9"/>
    <n v="192170.00999999998"/>
    <n v="13535.109999999986"/>
  </r>
  <r>
    <n v="1073"/>
    <d v="2023-12-01T00:00:00"/>
    <s v="David"/>
    <s v="West"/>
    <n v="5238.42"/>
    <n v="40"/>
    <x v="0"/>
    <n v="2565.3000000000002"/>
    <n v="3007.47"/>
    <s v="Returning"/>
    <n v="0.17"/>
    <s v="Credit Card"/>
    <s v="Retail"/>
    <s v="West-David"/>
    <n v="102612"/>
    <n v="120298.79999999999"/>
    <n v="17686.799999999988"/>
  </r>
  <r>
    <n v="1039"/>
    <d v="2023-07-22T00:00:00"/>
    <s v="Alice"/>
    <s v="East"/>
    <n v="6807.67"/>
    <n v="42"/>
    <x v="2"/>
    <n v="3120.19"/>
    <n v="3600.14"/>
    <s v="Returning"/>
    <n v="0.19"/>
    <s v="Credit Card"/>
    <s v="Retail"/>
    <s v="East-Alice"/>
    <n v="131047.98"/>
    <n v="151205.88"/>
    <n v="20157.900000000009"/>
  </r>
  <r>
    <n v="1018"/>
    <d v="2023-01-26T00:00:00"/>
    <s v="Alice"/>
    <s v="East"/>
    <n v="3187.45"/>
    <n v="11"/>
    <x v="2"/>
    <n v="2414.8200000000002"/>
    <n v="2519.0700000000002"/>
    <s v="Returning"/>
    <n v="0"/>
    <s v="Cash"/>
    <s v="Online"/>
    <s v="East-Alice"/>
    <n v="26563.02"/>
    <n v="27709.77"/>
    <n v="1146.75"/>
  </r>
  <r>
    <n v="1004"/>
    <d v="2023-06-22T00:00:00"/>
    <s v="Eve"/>
    <s v="South"/>
    <n v="7762.51"/>
    <n v="39"/>
    <x v="3"/>
    <n v="2416.89"/>
    <n v="2778.3999999999901"/>
    <s v="Returning"/>
    <n v="0.05"/>
    <s v="Cash"/>
    <s v="Online"/>
    <s v="South-Eve"/>
    <n v="94258.709999999992"/>
    <n v="108357.59999999961"/>
    <n v="14098.889999999621"/>
  </r>
  <r>
    <n v="1089"/>
    <d v="2023-10-27T00:00:00"/>
    <s v="David"/>
    <s v="North"/>
    <n v="7751.92"/>
    <n v="43"/>
    <x v="0"/>
    <n v="3851.45"/>
    <n v="4186.9799999999996"/>
    <s v="Returning"/>
    <n v="0.3"/>
    <s v="Credit Card"/>
    <s v="Online"/>
    <s v="North-David"/>
    <n v="165612.35"/>
    <n v="180040.13999999998"/>
    <n v="14427.789999999979"/>
  </r>
  <r>
    <n v="1060"/>
    <d v="2023-05-13T00:00:00"/>
    <s v="Charlie"/>
    <s v="West"/>
    <n v="5260.83"/>
    <n v="31"/>
    <x v="3"/>
    <n v="3161.4"/>
    <n v="3339.66"/>
    <s v="Returning"/>
    <n v="0.02"/>
    <s v="Bank Transfer"/>
    <s v="Online"/>
    <s v="West-Charlie"/>
    <n v="98003.400000000009"/>
    <n v="103529.45999999999"/>
    <n v="5526.0599999999831"/>
  </r>
  <r>
    <n v="1014"/>
    <d v="2023-11-22T00:00:00"/>
    <s v="David"/>
    <s v="West"/>
    <n v="9762.5400000000009"/>
    <n v="17"/>
    <x v="1"/>
    <n v="3184.65"/>
    <n v="3204.01"/>
    <s v="New"/>
    <n v="0.2"/>
    <s v="Bank Transfer"/>
    <s v="Online"/>
    <s v="West-David"/>
    <n v="54139.05"/>
    <n v="54468.170000000006"/>
    <n v="329.12000000000262"/>
  </r>
  <r>
    <n v="1009"/>
    <d v="2023-04-28T00:00:00"/>
    <s v="Alice"/>
    <s v="North"/>
    <n v="1342.95"/>
    <n v="33"/>
    <x v="2"/>
    <n v="2278.9"/>
    <n v="2626.9"/>
    <s v="New"/>
    <n v="0.05"/>
    <s v="Credit Card"/>
    <s v="Online"/>
    <s v="North-Alice"/>
    <n v="75203.7"/>
    <n v="86687.7"/>
    <n v="11484"/>
  </r>
  <r>
    <n v="1090"/>
    <d v="2023-11-20T00:00:00"/>
    <s v="Alice"/>
    <s v="West"/>
    <n v="267.77999999999997"/>
    <n v="32"/>
    <x v="3"/>
    <n v="2678.99"/>
    <n v="3152.2799999999902"/>
    <s v="Returning"/>
    <n v="0.22"/>
    <s v="Cash"/>
    <s v="Retail"/>
    <s v="West-Alice"/>
    <n v="85727.679999999993"/>
    <n v="100872.95999999969"/>
    <n v="15145.279999999693"/>
  </r>
  <r>
    <n v="1053"/>
    <d v="2023-10-02T00:00:00"/>
    <s v="David"/>
    <s v="East"/>
    <n v="7724.57"/>
    <n v="29"/>
    <x v="3"/>
    <n v="3741.3"/>
    <n v="4061.04"/>
    <s v="Returning"/>
    <n v="0.21"/>
    <s v="Credit Card"/>
    <s v="Online"/>
    <s v="East-David"/>
    <n v="108497.70000000001"/>
    <n v="117770.16"/>
    <n v="9272.4599999999919"/>
  </r>
  <r>
    <n v="1002"/>
    <d v="2023-07-31T00:00:00"/>
    <s v="David"/>
    <s v="East"/>
    <n v="8090.84"/>
    <n v="21"/>
    <x v="2"/>
    <n v="4138.41"/>
    <n v="4361.7"/>
    <s v="Returning"/>
    <n v="7.0000000000000007E-2"/>
    <s v="Credit Card"/>
    <s v="Retail"/>
    <s v="East-David"/>
    <n v="86906.61"/>
    <n v="91595.7"/>
    <n v="4689.0899999999965"/>
  </r>
  <r>
    <n v="1084"/>
    <d v="2023-08-13T00:00:00"/>
    <s v="Alice"/>
    <s v="West"/>
    <n v="1290.05"/>
    <n v="21"/>
    <x v="0"/>
    <n v="3497.98"/>
    <n v="3765.31"/>
    <s v="New"/>
    <n v="0.08"/>
    <s v="Cash"/>
    <s v="Online"/>
    <s v="West-Alice"/>
    <n v="73457.58"/>
    <n v="79071.509999999995"/>
    <n v="5613.929999999993"/>
  </r>
  <r>
    <n v="1092"/>
    <d v="2023-01-20T00:00:00"/>
    <s v="Charlie"/>
    <s v="East"/>
    <n v="2729.27"/>
    <n v="40"/>
    <x v="3"/>
    <n v="4624.16"/>
    <n v="4731.9799999999996"/>
    <s v="New"/>
    <n v="0.2"/>
    <s v="Bank Transfer"/>
    <s v="Retail"/>
    <s v="East-Charlie"/>
    <n v="184966.39999999999"/>
    <n v="189279.19999999998"/>
    <n v="4312.7999999999884"/>
  </r>
  <r>
    <n v="1060"/>
    <d v="2023-04-23T00:00:00"/>
    <s v="Eve"/>
    <s v="East"/>
    <n v="273.77"/>
    <n v="23"/>
    <x v="2"/>
    <n v="4110.6000000000004"/>
    <n v="4488.37"/>
    <s v="New"/>
    <n v="0.12"/>
    <s v="Credit Card"/>
    <s v="Online"/>
    <s v="East-Eve"/>
    <n v="94543.8"/>
    <n v="103232.51"/>
    <n v="8688.7099999999919"/>
  </r>
  <r>
    <n v="1071"/>
    <d v="2023-05-20T00:00:00"/>
    <s v="Eve"/>
    <s v="West"/>
    <n v="3003.76"/>
    <n v="6"/>
    <x v="0"/>
    <n v="2831.23"/>
    <n v="3206.98"/>
    <s v="Returning"/>
    <n v="0.06"/>
    <s v="Bank Transfer"/>
    <s v="Retail"/>
    <s v="West-Eve"/>
    <n v="16987.38"/>
    <n v="19241.88"/>
    <n v="2254.5"/>
  </r>
  <r>
    <n v="1044"/>
    <d v="2023-02-16T00:00:00"/>
    <s v="David"/>
    <s v="South"/>
    <n v="7754.1"/>
    <n v="22"/>
    <x v="1"/>
    <n v="3373.46"/>
    <n v="3454.76"/>
    <s v="Returning"/>
    <n v="0.22"/>
    <s v="Bank Transfer"/>
    <s v="Retail"/>
    <s v="South-David"/>
    <n v="74216.12"/>
    <n v="76004.72"/>
    <n v="1788.6000000000058"/>
  </r>
  <r>
    <n v="1008"/>
    <d v="2023-01-01T00:00:00"/>
    <s v="Eve"/>
    <s v="North"/>
    <n v="5227.8100000000004"/>
    <n v="38"/>
    <x v="2"/>
    <n v="4635.2299999999996"/>
    <n v="5075.4399999999996"/>
    <s v="Returning"/>
    <n v="0.05"/>
    <s v="Cash"/>
    <s v="Online"/>
    <s v="North-Eve"/>
    <n v="176138.74"/>
    <n v="192866.71999999997"/>
    <n v="16727.979999999981"/>
  </r>
  <r>
    <n v="1047"/>
    <d v="2023-03-31T00:00:00"/>
    <s v="Alice"/>
    <s v="East"/>
    <n v="3546.15"/>
    <n v="37"/>
    <x v="3"/>
    <n v="3114.88"/>
    <n v="3256.78"/>
    <s v="Returning"/>
    <n v="0.26"/>
    <s v="Credit Card"/>
    <s v="Online"/>
    <s v="East-Alice"/>
    <n v="115250.56"/>
    <n v="120500.86"/>
    <n v="5250.3000000000029"/>
  </r>
  <r>
    <n v="1035"/>
    <d v="2023-05-22T00:00:00"/>
    <s v="Alice"/>
    <s v="South"/>
    <n v="3780.22"/>
    <n v="45"/>
    <x v="1"/>
    <n v="4132.79"/>
    <n v="4624.1000000000004"/>
    <s v="New"/>
    <n v="0.15"/>
    <s v="Credit Card"/>
    <s v="Retail"/>
    <s v="South-Alice"/>
    <n v="185975.55"/>
    <n v="208084.50000000003"/>
    <n v="22108.950000000041"/>
  </r>
  <r>
    <n v="1078"/>
    <d v="2023-11-16T00:00:00"/>
    <s v="David"/>
    <s v="East"/>
    <n v="113.4"/>
    <n v="8"/>
    <x v="0"/>
    <n v="3459.61"/>
    <n v="3657.23"/>
    <s v="Returning"/>
    <n v="0.03"/>
    <s v="Bank Transfer"/>
    <s v="Online"/>
    <s v="East-David"/>
    <n v="27676.880000000001"/>
    <n v="29257.84"/>
    <n v="1580.9599999999991"/>
  </r>
  <r>
    <n v="1081"/>
    <d v="2023-02-07T00:00:00"/>
    <s v="David"/>
    <s v="East"/>
    <n v="3068.03"/>
    <n v="41"/>
    <x v="0"/>
    <n v="2782.08"/>
    <n v="2879.24"/>
    <s v="New"/>
    <n v="0.21"/>
    <s v="Bank Transfer"/>
    <s v="Online"/>
    <s v="East-David"/>
    <n v="114065.28"/>
    <n v="118048.84"/>
    <n v="3983.5599999999977"/>
  </r>
  <r>
    <n v="1036"/>
    <d v="2023-10-20T00:00:00"/>
    <s v="David"/>
    <s v="North"/>
    <n v="6499.94"/>
    <n v="49"/>
    <x v="2"/>
    <n v="1247.0999999999999"/>
    <n v="1429.4399999999901"/>
    <s v="New"/>
    <n v="0.16"/>
    <s v="Cash"/>
    <s v="Online"/>
    <s v="North-David"/>
    <n v="61107.899999999994"/>
    <n v="70042.559999999517"/>
    <n v="8934.6599999995233"/>
  </r>
  <r>
    <n v="1050"/>
    <d v="2023-05-19T00:00:00"/>
    <s v="Charlie"/>
    <s v="East"/>
    <n v="9744.52"/>
    <n v="35"/>
    <x v="2"/>
    <n v="2158.69"/>
    <n v="2384.38"/>
    <s v="Returning"/>
    <n v="0.09"/>
    <s v="Bank Transfer"/>
    <s v="Retail"/>
    <s v="East-Charlie"/>
    <n v="75554.150000000009"/>
    <n v="83453.3"/>
    <n v="7899.1499999999942"/>
  </r>
  <r>
    <n v="1004"/>
    <d v="2023-12-22T00:00:00"/>
    <s v="Eve"/>
    <s v="North"/>
    <n v="8485.9"/>
    <n v="11"/>
    <x v="2"/>
    <n v="4840.33"/>
    <n v="4884.29"/>
    <s v="New"/>
    <n v="0.13"/>
    <s v="Cash"/>
    <s v="Online"/>
    <s v="North-Eve"/>
    <n v="53243.63"/>
    <n v="53727.19"/>
    <n v="483.56000000000495"/>
  </r>
  <r>
    <n v="1002"/>
    <d v="2023-11-29T00:00:00"/>
    <s v="David"/>
    <s v="North"/>
    <n v="333.59"/>
    <n v="24"/>
    <x v="0"/>
    <n v="3305.94"/>
    <n v="3599.27"/>
    <s v="New"/>
    <n v="0.09"/>
    <s v="Credit Card"/>
    <s v="Retail"/>
    <s v="North-David"/>
    <n v="79342.559999999998"/>
    <n v="86382.48"/>
    <n v="7039.9199999999983"/>
  </r>
  <r>
    <n v="1006"/>
    <d v="2023-09-16T00:00:00"/>
    <s v="Bob"/>
    <s v="North"/>
    <n v="8995.75"/>
    <n v="49"/>
    <x v="1"/>
    <n v="2843.76"/>
    <n v="3146.6"/>
    <s v="New"/>
    <n v="0.08"/>
    <s v="Cash"/>
    <s v="Retail"/>
    <s v="North-Bob"/>
    <n v="139344.24000000002"/>
    <n v="154183.4"/>
    <n v="14839.159999999974"/>
  </r>
  <r>
    <n v="1054"/>
    <d v="2023-06-10T00:00:00"/>
    <s v="Bob"/>
    <s v="South"/>
    <n v="7853.66"/>
    <n v="21"/>
    <x v="0"/>
    <n v="4668.1400000000003"/>
    <n v="5040.22"/>
    <s v="New"/>
    <n v="0.05"/>
    <s v="Bank Transfer"/>
    <s v="Online"/>
    <s v="South-Bob"/>
    <n v="98030.94"/>
    <n v="105844.62000000001"/>
    <n v="7813.6800000000076"/>
  </r>
  <r>
    <n v="1004"/>
    <d v="2023-06-27T00:00:00"/>
    <s v="Alice"/>
    <s v="West"/>
    <n v="7825.72"/>
    <n v="2"/>
    <x v="3"/>
    <n v="2953.23"/>
    <n v="2977.52"/>
    <s v="Returning"/>
    <n v="0.11"/>
    <s v="Credit Card"/>
    <s v="Retail"/>
    <s v="West-Alice"/>
    <n v="5906.46"/>
    <n v="5955.04"/>
    <n v="48.579999999999927"/>
  </r>
  <r>
    <n v="1054"/>
    <d v="2023-01-10T00:00:00"/>
    <s v="Eve"/>
    <s v="South"/>
    <n v="4634.16"/>
    <n v="40"/>
    <x v="0"/>
    <n v="2654.11"/>
    <n v="2929.32"/>
    <s v="Returning"/>
    <n v="0.08"/>
    <s v="Cash"/>
    <s v="Online"/>
    <s v="South-Eve"/>
    <n v="106164.40000000001"/>
    <n v="117172.8"/>
    <n v="11008.399999999994"/>
  </r>
  <r>
    <n v="1093"/>
    <d v="2023-09-18T00:00:00"/>
    <s v="David"/>
    <s v="West"/>
    <n v="4040.25"/>
    <n v="19"/>
    <x v="3"/>
    <n v="3808.59"/>
    <n v="3844.51"/>
    <s v="New"/>
    <n v="0.21"/>
    <s v="Credit Card"/>
    <s v="Online"/>
    <s v="West-David"/>
    <n v="72363.210000000006"/>
    <n v="73045.69"/>
    <n v="682.47999999999593"/>
  </r>
  <r>
    <n v="1063"/>
    <d v="2023-05-18T00:00:00"/>
    <s v="Bob"/>
    <s v="West"/>
    <n v="3098.87"/>
    <n v="39"/>
    <x v="1"/>
    <n v="3577.69"/>
    <n v="3931.25"/>
    <s v="Returning"/>
    <n v="0.21"/>
    <s v="Cash"/>
    <s v="Retail"/>
    <s v="West-Bob"/>
    <n v="139529.91"/>
    <n v="153318.75"/>
    <n v="13788.839999999997"/>
  </r>
  <r>
    <n v="1018"/>
    <d v="2023-06-21T00:00:00"/>
    <s v="Eve"/>
    <s v="North"/>
    <n v="750.38"/>
    <n v="28"/>
    <x v="2"/>
    <n v="1006.14"/>
    <n v="1043.45"/>
    <s v="New"/>
    <n v="0.15"/>
    <s v="Bank Transfer"/>
    <s v="Retail"/>
    <s v="North-Eve"/>
    <n v="28171.919999999998"/>
    <n v="29216.600000000002"/>
    <n v="1044.6800000000039"/>
  </r>
  <r>
    <n v="1090"/>
    <d v="2023-01-13T00:00:00"/>
    <s v="Alice"/>
    <s v="East"/>
    <n v="2359.5300000000002"/>
    <n v="17"/>
    <x v="2"/>
    <n v="2382.98"/>
    <n v="2839.73"/>
    <s v="Returning"/>
    <n v="0.23"/>
    <s v="Bank Transfer"/>
    <s v="Retail"/>
    <s v="East-Alice"/>
    <n v="40510.660000000003"/>
    <n v="48275.41"/>
    <n v="7764.75"/>
  </r>
  <r>
    <n v="1044"/>
    <d v="2023-06-17T00:00:00"/>
    <s v="Charlie"/>
    <s v="North"/>
    <n v="2541.38"/>
    <n v="6"/>
    <x v="0"/>
    <n v="2388.9499999999998"/>
    <n v="2742.97"/>
    <s v="Returning"/>
    <n v="0.25"/>
    <s v="Credit Card"/>
    <s v="Retail"/>
    <s v="North-Charlie"/>
    <n v="14333.699999999999"/>
    <n v="16457.82"/>
    <n v="2124.1200000000008"/>
  </r>
  <r>
    <n v="1034"/>
    <d v="2023-05-10T00:00:00"/>
    <s v="Eve"/>
    <s v="East"/>
    <n v="4892.3599999999997"/>
    <n v="19"/>
    <x v="2"/>
    <n v="1922.21"/>
    <n v="2180.83"/>
    <s v="Returning"/>
    <n v="0.17"/>
    <s v="Credit Card"/>
    <s v="Retail"/>
    <s v="East-Eve"/>
    <n v="36521.99"/>
    <n v="41435.769999999997"/>
    <n v="4913.7799999999988"/>
  </r>
  <r>
    <n v="1074"/>
    <d v="2023-03-25T00:00:00"/>
    <s v="Eve"/>
    <s v="West"/>
    <n v="7499.7"/>
    <n v="38"/>
    <x v="1"/>
    <n v="2610.6"/>
    <n v="2836.94"/>
    <s v="Returning"/>
    <n v="0.19"/>
    <s v="Credit Card"/>
    <s v="Online"/>
    <s v="West-Eve"/>
    <n v="99202.8"/>
    <n v="107803.72"/>
    <n v="8600.9199999999983"/>
  </r>
  <r>
    <n v="1062"/>
    <d v="2023-11-17T00:00:00"/>
    <s v="Charlie"/>
    <s v="North"/>
    <n v="4790.72"/>
    <n v="28"/>
    <x v="2"/>
    <n v="2094.88"/>
    <n v="2168.91"/>
    <s v="Returning"/>
    <n v="0.08"/>
    <s v="Cash"/>
    <s v="Retail"/>
    <s v="North-Charlie"/>
    <n v="58656.639999999999"/>
    <n v="60729.479999999996"/>
    <n v="2072.8399999999965"/>
  </r>
  <r>
    <n v="1100"/>
    <d v="2023-11-15T00:00:00"/>
    <s v="Eve"/>
    <s v="East"/>
    <n v="672.66"/>
    <n v="2"/>
    <x v="0"/>
    <n v="1036.76"/>
    <n v="1189.3499999999999"/>
    <s v="New"/>
    <n v="0.27"/>
    <s v="Bank Transfer"/>
    <s v="Online"/>
    <s v="East-Eve"/>
    <n v="2073.52"/>
    <n v="2378.6999999999998"/>
    <n v="305.17999999999984"/>
  </r>
  <r>
    <n v="1014"/>
    <d v="2023-04-11T00:00:00"/>
    <s v="Alice"/>
    <s v="South"/>
    <n v="9582.1200000000008"/>
    <n v="38"/>
    <x v="1"/>
    <n v="2091.21"/>
    <n v="2527"/>
    <s v="Returning"/>
    <n v="0.01"/>
    <s v="Credit Card"/>
    <s v="Online"/>
    <s v="South-Alice"/>
    <n v="79465.98"/>
    <n v="96026"/>
    <n v="16560.020000000004"/>
  </r>
  <r>
    <n v="1095"/>
    <d v="2023-11-25T00:00:00"/>
    <s v="Alice"/>
    <s v="East"/>
    <n v="9432.9699999999993"/>
    <n v="37"/>
    <x v="3"/>
    <n v="407.77"/>
    <n v="860.95"/>
    <s v="New"/>
    <n v="0.1"/>
    <s v="Credit Card"/>
    <s v="Retail"/>
    <s v="East-Alice"/>
    <n v="15087.49"/>
    <n v="31855.15"/>
    <n v="16767.660000000003"/>
  </r>
  <r>
    <n v="1048"/>
    <d v="2023-09-30T00:00:00"/>
    <s v="Charlie"/>
    <s v="North"/>
    <n v="7873.38"/>
    <n v="4"/>
    <x v="0"/>
    <n v="2900.14"/>
    <n v="2910.5099999999902"/>
    <s v="New"/>
    <n v="0.22"/>
    <s v="Credit Card"/>
    <s v="Retail"/>
    <s v="North-Charlie"/>
    <n v="11600.56"/>
    <n v="11642.039999999961"/>
    <n v="41.479999999961365"/>
  </r>
  <r>
    <n v="1015"/>
    <d v="2023-09-22T00:00:00"/>
    <s v="David"/>
    <s v="South"/>
    <n v="9914.15"/>
    <n v="22"/>
    <x v="3"/>
    <n v="4275.59"/>
    <n v="4576.72"/>
    <s v="Returning"/>
    <n v="0.02"/>
    <s v="Cash"/>
    <s v="Retail"/>
    <s v="South-David"/>
    <n v="94062.98000000001"/>
    <n v="100687.84000000001"/>
    <n v="6624.8600000000006"/>
  </r>
  <r>
    <n v="1072"/>
    <d v="2023-02-07T00:00:00"/>
    <s v="Bob"/>
    <s v="East"/>
    <n v="5490.38"/>
    <n v="26"/>
    <x v="1"/>
    <n v="3640.17"/>
    <n v="4002.63"/>
    <s v="New"/>
    <n v="0.05"/>
    <s v="Credit Card"/>
    <s v="Retail"/>
    <s v="East-Bob"/>
    <n v="94644.42"/>
    <n v="104068.38"/>
    <n v="9423.9600000000064"/>
  </r>
  <r>
    <n v="1078"/>
    <d v="2023-04-04T00:00:00"/>
    <s v="David"/>
    <s v="East"/>
    <n v="9631.41"/>
    <n v="49"/>
    <x v="0"/>
    <n v="1833.95"/>
    <n v="2147.14"/>
    <s v="Returning"/>
    <n v="0.18"/>
    <s v="Credit Card"/>
    <s v="Retail"/>
    <s v="East-David"/>
    <n v="89863.55"/>
    <n v="105209.86"/>
    <n v="15346.309999999998"/>
  </r>
  <r>
    <n v="1087"/>
    <d v="2023-04-05T00:00:00"/>
    <s v="Eve"/>
    <s v="East"/>
    <n v="848.49"/>
    <n v="43"/>
    <x v="0"/>
    <n v="481"/>
    <n v="531.02"/>
    <s v="New"/>
    <n v="0.17"/>
    <s v="Cash"/>
    <s v="Online"/>
    <s v="East-Eve"/>
    <n v="20683"/>
    <n v="22833.86"/>
    <n v="2150.8600000000006"/>
  </r>
  <r>
    <n v="1062"/>
    <d v="2023-11-01T00:00:00"/>
    <s v="Bob"/>
    <s v="East"/>
    <n v="3720.24"/>
    <n v="36"/>
    <x v="1"/>
    <n v="1050.6400000000001"/>
    <n v="1167.33"/>
    <s v="New"/>
    <n v="0.22"/>
    <s v="Cash"/>
    <s v="Online"/>
    <s v="East-Bob"/>
    <n v="37823.040000000001"/>
    <n v="42023.88"/>
    <n v="4200.8399999999965"/>
  </r>
  <r>
    <n v="1040"/>
    <d v="2023-03-10T00:00:00"/>
    <s v="Charlie"/>
    <s v="East"/>
    <n v="2331.27"/>
    <n v="13"/>
    <x v="2"/>
    <n v="2750.18"/>
    <n v="2882.85"/>
    <s v="Returning"/>
    <n v="0.24"/>
    <s v="Credit Card"/>
    <s v="Online"/>
    <s v="East-Charlie"/>
    <n v="35752.339999999997"/>
    <n v="37477.049999999996"/>
    <n v="1724.7099999999991"/>
  </r>
  <r>
    <n v="1085"/>
    <d v="2023-11-14T00:00:00"/>
    <s v="Charlie"/>
    <s v="South"/>
    <n v="2038.75"/>
    <n v="32"/>
    <x v="0"/>
    <n v="1074.93"/>
    <n v="1492.48"/>
    <s v="Returning"/>
    <n v="0.04"/>
    <s v="Credit Card"/>
    <s v="Retail"/>
    <s v="South-Charlie"/>
    <n v="34397.760000000002"/>
    <n v="47759.360000000001"/>
    <n v="13361.599999999999"/>
  </r>
  <r>
    <n v="1080"/>
    <d v="2023-08-24T00:00:00"/>
    <s v="Bob"/>
    <s v="West"/>
    <n v="1493.95"/>
    <n v="17"/>
    <x v="0"/>
    <n v="2742.67"/>
    <n v="2979.64"/>
    <s v="Returning"/>
    <n v="0.01"/>
    <s v="Cash"/>
    <s v="Retail"/>
    <s v="West-Bob"/>
    <n v="46625.39"/>
    <n v="50653.88"/>
    <n v="4028.489999999998"/>
  </r>
  <r>
    <n v="1082"/>
    <d v="2023-11-30T00:00:00"/>
    <s v="Alice"/>
    <s v="South"/>
    <n v="6261.9"/>
    <n v="41"/>
    <x v="3"/>
    <n v="1196.42"/>
    <n v="1444.97"/>
    <s v="Returning"/>
    <n v="0.21"/>
    <s v="Bank Transfer"/>
    <s v="Online"/>
    <s v="South-Alice"/>
    <n v="49053.22"/>
    <n v="59243.770000000004"/>
    <n v="10190.550000000003"/>
  </r>
  <r>
    <n v="1053"/>
    <d v="2023-05-17T00:00:00"/>
    <s v="Bob"/>
    <s v="South"/>
    <n v="7835.09"/>
    <n v="36"/>
    <x v="2"/>
    <n v="4252.17"/>
    <n v="4720.2700000000004"/>
    <s v="New"/>
    <n v="0.09"/>
    <s v="Cash"/>
    <s v="Retail"/>
    <s v="South-Bob"/>
    <n v="153078.12"/>
    <n v="169929.72000000003"/>
    <n v="16851.600000000035"/>
  </r>
  <r>
    <n v="1024"/>
    <d v="2023-03-17T00:00:00"/>
    <s v="Eve"/>
    <s v="South"/>
    <n v="5825.15"/>
    <n v="46"/>
    <x v="3"/>
    <n v="2016.49"/>
    <n v="2338.66"/>
    <s v="Returning"/>
    <n v="0.19"/>
    <s v="Bank Transfer"/>
    <s v="Retail"/>
    <s v="South-Eve"/>
    <n v="92758.54"/>
    <n v="107578.35999999999"/>
    <n v="14819.819999999992"/>
  </r>
  <r>
    <n v="1026"/>
    <d v="2023-02-04T00:00:00"/>
    <s v="Alice"/>
    <s v="West"/>
    <n v="1554.93"/>
    <n v="19"/>
    <x v="3"/>
    <n v="1265.48"/>
    <n v="1715.83"/>
    <s v="New"/>
    <n v="0.05"/>
    <s v="Credit Card"/>
    <s v="Retail"/>
    <s v="West-Alice"/>
    <n v="24044.12"/>
    <n v="32600.769999999997"/>
    <n v="8556.6499999999978"/>
  </r>
  <r>
    <n v="1089"/>
    <d v="2023-01-01T00:00:00"/>
    <s v="Charlie"/>
    <s v="North"/>
    <n v="8130.13"/>
    <n v="35"/>
    <x v="2"/>
    <n v="4071.01"/>
    <n v="4304.7"/>
    <s v="New"/>
    <n v="0.14000000000000001"/>
    <s v="Credit Card"/>
    <s v="Online"/>
    <s v="North-Charlie"/>
    <n v="142485.35"/>
    <n v="150664.5"/>
    <n v="8179.1499999999942"/>
  </r>
  <r>
    <n v="1060"/>
    <d v="2023-10-23T00:00:00"/>
    <s v="Bob"/>
    <s v="West"/>
    <n v="6395.95"/>
    <n v="46"/>
    <x v="2"/>
    <n v="1747.05"/>
    <n v="1830.27"/>
    <s v="New"/>
    <n v="0.15"/>
    <s v="Bank Transfer"/>
    <s v="Retail"/>
    <s v="West-Bob"/>
    <n v="80364.3"/>
    <n v="84192.42"/>
    <n v="3828.1199999999953"/>
  </r>
  <r>
    <n v="1041"/>
    <d v="2023-11-16T00:00:00"/>
    <s v="David"/>
    <s v="South"/>
    <n v="3942.84"/>
    <n v="40"/>
    <x v="1"/>
    <n v="601.86"/>
    <n v="1067.53"/>
    <s v="New"/>
    <n v="0.18"/>
    <s v="Cash"/>
    <s v="Online"/>
    <s v="South-David"/>
    <n v="24074.400000000001"/>
    <n v="42701.2"/>
    <n v="18626.799999999996"/>
  </r>
  <r>
    <n v="1029"/>
    <d v="2023-03-01T00:00:00"/>
    <s v="David"/>
    <s v="East"/>
    <n v="6773.89"/>
    <n v="28"/>
    <x v="2"/>
    <n v="2873.53"/>
    <n v="3108.3"/>
    <s v="New"/>
    <n v="0.15"/>
    <s v="Credit Card"/>
    <s v="Retail"/>
    <s v="East-David"/>
    <n v="80458.840000000011"/>
    <n v="87032.400000000009"/>
    <n v="6573.5599999999977"/>
  </r>
  <r>
    <n v="1015"/>
    <d v="2023-11-16T00:00:00"/>
    <s v="Eve"/>
    <s v="East"/>
    <n v="2673.06"/>
    <n v="1"/>
    <x v="0"/>
    <n v="2928.74"/>
    <n v="3027.74"/>
    <s v="New"/>
    <n v="0.15"/>
    <s v="Bank Transfer"/>
    <s v="Retail"/>
    <s v="East-Eve"/>
    <n v="2928.74"/>
    <n v="3027.74"/>
    <n v="99"/>
  </r>
  <r>
    <n v="1045"/>
    <d v="2023-12-15T00:00:00"/>
    <s v="David"/>
    <s v="South"/>
    <n v="3517.4"/>
    <n v="42"/>
    <x v="2"/>
    <n v="3587.74"/>
    <n v="3745.91"/>
    <s v="Returning"/>
    <n v="0.1"/>
    <s v="Cash"/>
    <s v="Online"/>
    <s v="South-David"/>
    <n v="150685.07999999999"/>
    <n v="157328.22"/>
    <n v="6643.140000000014"/>
  </r>
  <r>
    <n v="1065"/>
    <d v="2023-11-24T00:00:00"/>
    <s v="Bob"/>
    <s v="East"/>
    <n v="9183.11"/>
    <n v="18"/>
    <x v="1"/>
    <n v="1239.0899999999999"/>
    <n v="1273.98"/>
    <s v="New"/>
    <n v="0.02"/>
    <s v="Bank Transfer"/>
    <s v="Retail"/>
    <s v="East-Bob"/>
    <n v="22303.62"/>
    <n v="22931.64"/>
    <n v="628.02000000000044"/>
  </r>
  <r>
    <n v="1089"/>
    <d v="2023-09-24T00:00:00"/>
    <s v="Bob"/>
    <s v="South"/>
    <n v="2975.99"/>
    <n v="48"/>
    <x v="1"/>
    <n v="2246.67"/>
    <n v="2486.14"/>
    <s v="New"/>
    <n v="0.03"/>
    <s v="Cash"/>
    <s v="Retail"/>
    <s v="South-Bob"/>
    <n v="107840.16"/>
    <n v="119334.72"/>
    <n v="11494.559999999998"/>
  </r>
  <r>
    <n v="1071"/>
    <d v="2023-12-27T00:00:00"/>
    <s v="David"/>
    <s v="East"/>
    <n v="4752.88"/>
    <n v="40"/>
    <x v="1"/>
    <n v="1447.72"/>
    <n v="1875.75"/>
    <s v="New"/>
    <n v="0.13"/>
    <s v="Cash"/>
    <s v="Retail"/>
    <s v="East-David"/>
    <n v="57908.800000000003"/>
    <n v="75030"/>
    <n v="17121.199999999997"/>
  </r>
  <r>
    <n v="1009"/>
    <d v="2023-08-17T00:00:00"/>
    <s v="Bob"/>
    <s v="West"/>
    <n v="8912.4"/>
    <n v="33"/>
    <x v="2"/>
    <n v="450.72"/>
    <n v="918.17"/>
    <s v="Returning"/>
    <n v="0.11"/>
    <s v="Cash"/>
    <s v="Online"/>
    <s v="West-Bob"/>
    <n v="14873.76"/>
    <n v="30299.609999999997"/>
    <n v="15425.849999999997"/>
  </r>
  <r>
    <n v="1088"/>
    <d v="2023-09-27T00:00:00"/>
    <s v="Eve"/>
    <s v="North"/>
    <n v="7106.44"/>
    <n v="12"/>
    <x v="2"/>
    <n v="4389.24"/>
    <n v="4856.2199999999903"/>
    <s v="Returning"/>
    <n v="0.15"/>
    <s v="Cash"/>
    <s v="Retail"/>
    <s v="North-Eve"/>
    <n v="52670.879999999997"/>
    <n v="58274.639999999883"/>
    <n v="5603.7599999998856"/>
  </r>
  <r>
    <n v="1001"/>
    <d v="2023-11-12T00:00:00"/>
    <s v="Alice"/>
    <s v="North"/>
    <n v="715.81"/>
    <n v="8"/>
    <x v="3"/>
    <n v="3657.91"/>
    <n v="3729.27"/>
    <s v="New"/>
    <n v="0.09"/>
    <s v="Bank Transfer"/>
    <s v="Retail"/>
    <s v="North-Alice"/>
    <n v="29263.279999999999"/>
    <n v="29834.16"/>
    <n v="570.88000000000102"/>
  </r>
  <r>
    <n v="1008"/>
    <d v="2023-10-13T00:00:00"/>
    <s v="Eve"/>
    <s v="West"/>
    <n v="1558.3"/>
    <n v="24"/>
    <x v="3"/>
    <n v="1542.24"/>
    <n v="1739.45"/>
    <s v="Returning"/>
    <n v="0.21"/>
    <s v="Bank Transfer"/>
    <s v="Retail"/>
    <s v="West-Eve"/>
    <n v="37013.760000000002"/>
    <n v="41746.800000000003"/>
    <n v="4733.0400000000009"/>
  </r>
  <r>
    <n v="1088"/>
    <d v="2023-10-18T00:00:00"/>
    <s v="Eve"/>
    <s v="West"/>
    <n v="177.63"/>
    <n v="16"/>
    <x v="0"/>
    <n v="3016.9"/>
    <n v="3040.73"/>
    <s v="New"/>
    <n v="0.26"/>
    <s v="Bank Transfer"/>
    <s v="Retail"/>
    <s v="West-Eve"/>
    <n v="48270.400000000001"/>
    <n v="48651.68"/>
    <n v="381.27999999999884"/>
  </r>
  <r>
    <n v="1063"/>
    <d v="2023-08-01T00:00:00"/>
    <s v="Bob"/>
    <s v="South"/>
    <n v="6346.13"/>
    <n v="4"/>
    <x v="3"/>
    <n v="1046.26"/>
    <n v="1475.29"/>
    <s v="Returning"/>
    <n v="0.09"/>
    <s v="Bank Transfer"/>
    <s v="Retail"/>
    <s v="South-Bob"/>
    <n v="4185.04"/>
    <n v="5901.16"/>
    <n v="1716.12"/>
  </r>
  <r>
    <n v="1011"/>
    <d v="2023-06-14T00:00:00"/>
    <s v="Alice"/>
    <s v="South"/>
    <n v="4531.97"/>
    <n v="38"/>
    <x v="0"/>
    <n v="4456.67"/>
    <n v="4642.46"/>
    <s v="New"/>
    <n v="0.06"/>
    <s v="Bank Transfer"/>
    <s v="Online"/>
    <s v="South-Alice"/>
    <n v="169353.46"/>
    <n v="176413.48"/>
    <n v="7060.0200000000186"/>
  </r>
  <r>
    <n v="1081"/>
    <d v="2023-01-05T00:00:00"/>
    <s v="Bob"/>
    <s v="South"/>
    <n v="1429.32"/>
    <n v="44"/>
    <x v="1"/>
    <n v="618.79"/>
    <n v="938.04"/>
    <s v="Returning"/>
    <n v="0.03"/>
    <s v="Cash"/>
    <s v="Online"/>
    <s v="South-Bob"/>
    <n v="27226.76"/>
    <n v="41273.759999999995"/>
    <n v="14046.999999999996"/>
  </r>
  <r>
    <n v="1008"/>
    <d v="2023-12-05T00:00:00"/>
    <s v="Charlie"/>
    <s v="East"/>
    <n v="9583.5499999999993"/>
    <n v="27"/>
    <x v="3"/>
    <n v="68.989999999999995"/>
    <n v="429.29"/>
    <s v="Returning"/>
    <n v="0.18"/>
    <s v="Credit Card"/>
    <s v="Retail"/>
    <s v="East-Charlie"/>
    <n v="1862.7299999999998"/>
    <n v="11590.83"/>
    <n v="9728.1"/>
  </r>
  <r>
    <n v="1035"/>
    <d v="2023-03-19T00:00:00"/>
    <s v="Bob"/>
    <s v="South"/>
    <n v="5343.63"/>
    <n v="9"/>
    <x v="2"/>
    <n v="2534.94"/>
    <n v="2755.56"/>
    <s v="Returning"/>
    <n v="0.13"/>
    <s v="Credit Card"/>
    <s v="Retail"/>
    <s v="South-Bob"/>
    <n v="22814.46"/>
    <n v="24800.04"/>
    <n v="1985.5800000000017"/>
  </r>
  <r>
    <n v="1035"/>
    <d v="2023-03-03T00:00:00"/>
    <s v="Bob"/>
    <s v="West"/>
    <n v="2494.7399999999998"/>
    <n v="47"/>
    <x v="3"/>
    <n v="2936.48"/>
    <n v="3096.64"/>
    <s v="New"/>
    <n v="0.06"/>
    <s v="Bank Transfer"/>
    <s v="Online"/>
    <s v="West-Bob"/>
    <n v="138014.56"/>
    <n v="145542.07999999999"/>
    <n v="7527.5199999999895"/>
  </r>
  <r>
    <n v="1033"/>
    <d v="2023-05-12T00:00:00"/>
    <s v="Bob"/>
    <s v="North"/>
    <n v="5055.9799999999996"/>
    <n v="16"/>
    <x v="0"/>
    <n v="2915.88"/>
    <n v="3397.36"/>
    <s v="New"/>
    <n v="0.2"/>
    <s v="Bank Transfer"/>
    <s v="Retail"/>
    <s v="North-Bob"/>
    <n v="46654.080000000002"/>
    <n v="54357.760000000002"/>
    <n v="7703.68"/>
  </r>
  <r>
    <n v="1005"/>
    <d v="2023-03-30T00:00:00"/>
    <s v="Alice"/>
    <s v="East"/>
    <n v="6828.24"/>
    <n v="12"/>
    <x v="3"/>
    <n v="319.83"/>
    <n v="802.43"/>
    <s v="New"/>
    <n v="0.04"/>
    <s v="Credit Card"/>
    <s v="Retail"/>
    <s v="East-Alice"/>
    <n v="3837.96"/>
    <n v="9629.16"/>
    <n v="5791.2"/>
  </r>
  <r>
    <n v="1041"/>
    <d v="2023-08-25T00:00:00"/>
    <s v="Bob"/>
    <s v="South"/>
    <n v="854.77"/>
    <n v="31"/>
    <x v="1"/>
    <n v="1604.52"/>
    <n v="1756.34"/>
    <s v="Returning"/>
    <n v="0.17"/>
    <s v="Cash"/>
    <s v="Retail"/>
    <s v="South-Bob"/>
    <n v="49740.12"/>
    <n v="54446.54"/>
    <n v="4706.4199999999983"/>
  </r>
  <r>
    <n v="1028"/>
    <d v="2023-02-11T00:00:00"/>
    <s v="Alice"/>
    <s v="East"/>
    <n v="2819.57"/>
    <n v="24"/>
    <x v="2"/>
    <n v="2521.0300000000002"/>
    <n v="2766.05"/>
    <s v="Returning"/>
    <n v="0.16"/>
    <s v="Bank Transfer"/>
    <s v="Retail"/>
    <s v="East-Alice"/>
    <n v="60504.72"/>
    <n v="66385.200000000012"/>
    <n v="5880.4800000000105"/>
  </r>
  <r>
    <n v="1007"/>
    <d v="2023-03-30T00:00:00"/>
    <s v="David"/>
    <s v="East"/>
    <n v="8088.96"/>
    <n v="14"/>
    <x v="0"/>
    <n v="1122.07"/>
    <n v="1608.76"/>
    <s v="New"/>
    <n v="0.22"/>
    <s v="Cash"/>
    <s v="Retail"/>
    <s v="East-David"/>
    <n v="15708.98"/>
    <n v="22522.639999999999"/>
    <n v="6813.66"/>
  </r>
  <r>
    <n v="1073"/>
    <d v="2023-10-23T00:00:00"/>
    <s v="Charlie"/>
    <s v="South"/>
    <n v="4650.68"/>
    <n v="45"/>
    <x v="2"/>
    <n v="4369.5"/>
    <n v="4381.8900000000003"/>
    <s v="Returning"/>
    <n v="0.02"/>
    <s v="Credit Card"/>
    <s v="Retail"/>
    <s v="South-Charlie"/>
    <n v="196627.5"/>
    <n v="197185.05000000002"/>
    <n v="557.55000000001746"/>
  </r>
  <r>
    <n v="1072"/>
    <d v="2023-11-24T00:00:00"/>
    <s v="Alice"/>
    <s v="East"/>
    <n v="5511.11"/>
    <n v="25"/>
    <x v="2"/>
    <n v="481.19"/>
    <n v="693.4"/>
    <s v="New"/>
    <n v="0.27"/>
    <s v="Credit Card"/>
    <s v="Retail"/>
    <s v="East-Alice"/>
    <n v="12029.75"/>
    <n v="17335"/>
    <n v="5305.25"/>
  </r>
  <r>
    <n v="1012"/>
    <d v="2023-10-22T00:00:00"/>
    <s v="David"/>
    <s v="North"/>
    <n v="4384.88"/>
    <n v="34"/>
    <x v="0"/>
    <n v="2462.5500000000002"/>
    <n v="2521.77"/>
    <s v="New"/>
    <n v="0.21"/>
    <s v="Bank Transfer"/>
    <s v="Retail"/>
    <s v="North-David"/>
    <n v="83726.700000000012"/>
    <n v="85740.18"/>
    <n v="2013.4799999999814"/>
  </r>
  <r>
    <n v="1034"/>
    <d v="2023-04-14T00:00:00"/>
    <s v="Alice"/>
    <s v="West"/>
    <n v="534.61"/>
    <n v="3"/>
    <x v="2"/>
    <n v="3472.51"/>
    <n v="3732"/>
    <s v="New"/>
    <n v="0.06"/>
    <s v="Cash"/>
    <s v="Online"/>
    <s v="West-Alice"/>
    <n v="10417.530000000001"/>
    <n v="11196"/>
    <n v="778.46999999999935"/>
  </r>
  <r>
    <n v="1033"/>
    <d v="2023-01-14T00:00:00"/>
    <s v="Alice"/>
    <s v="West"/>
    <n v="1740.92"/>
    <n v="24"/>
    <x v="2"/>
    <n v="1345.67"/>
    <n v="1367.76"/>
    <s v="New"/>
    <n v="0.06"/>
    <s v="Bank Transfer"/>
    <s v="Online"/>
    <s v="West-Alice"/>
    <n v="32296.080000000002"/>
    <n v="32826.239999999998"/>
    <n v="530.15999999999622"/>
  </r>
  <r>
    <n v="1048"/>
    <d v="2023-10-15T00:00:00"/>
    <s v="Charlie"/>
    <s v="North"/>
    <n v="4510.8599999999997"/>
    <n v="42"/>
    <x v="3"/>
    <n v="3139.99"/>
    <n v="3349.37"/>
    <s v="Returning"/>
    <n v="0.13"/>
    <s v="Credit Card"/>
    <s v="Retail"/>
    <s v="North-Charlie"/>
    <n v="131879.57999999999"/>
    <n v="140673.54"/>
    <n v="8793.960000000021"/>
  </r>
  <r>
    <n v="1023"/>
    <d v="2023-06-28T00:00:00"/>
    <s v="Eve"/>
    <s v="East"/>
    <n v="2170.94"/>
    <n v="9"/>
    <x v="2"/>
    <n v="4155.46"/>
    <n v="4273.6000000000004"/>
    <s v="Returning"/>
    <n v="0.25"/>
    <s v="Cash"/>
    <s v="Retail"/>
    <s v="East-Eve"/>
    <n v="37399.14"/>
    <n v="38462.400000000001"/>
    <n v="1063.260000000002"/>
  </r>
  <r>
    <n v="1062"/>
    <d v="2023-05-05T00:00:00"/>
    <s v="Eve"/>
    <s v="South"/>
    <n v="594.79"/>
    <n v="26"/>
    <x v="2"/>
    <n v="992.17"/>
    <n v="1263.49"/>
    <s v="Returning"/>
    <n v="0.25"/>
    <s v="Bank Transfer"/>
    <s v="Retail"/>
    <s v="South-Eve"/>
    <n v="25796.42"/>
    <n v="32850.74"/>
    <n v="7054.32"/>
  </r>
  <r>
    <n v="1088"/>
    <d v="2023-12-19T00:00:00"/>
    <s v="Alice"/>
    <s v="East"/>
    <n v="8452.1299999999992"/>
    <n v="20"/>
    <x v="2"/>
    <n v="4590.24"/>
    <n v="5088.28"/>
    <s v="New"/>
    <n v="0.16"/>
    <s v="Bank Transfer"/>
    <s v="Retail"/>
    <s v="East-Alice"/>
    <n v="91804.799999999988"/>
    <n v="101765.59999999999"/>
    <n v="9960.8000000000029"/>
  </r>
  <r>
    <n v="1037"/>
    <d v="2023-01-23T00:00:00"/>
    <s v="Bob"/>
    <s v="North"/>
    <n v="9813.81"/>
    <n v="40"/>
    <x v="2"/>
    <n v="2790.11"/>
    <n v="3192.37"/>
    <s v="Returning"/>
    <n v="0.26"/>
    <s v="Bank Transfer"/>
    <s v="Online"/>
    <s v="North-Bob"/>
    <n v="111604.40000000001"/>
    <n v="127694.79999999999"/>
    <n v="16090.39999999998"/>
  </r>
  <r>
    <n v="1099"/>
    <d v="2023-03-04T00:00:00"/>
    <s v="David"/>
    <s v="East"/>
    <n v="7952.11"/>
    <n v="10"/>
    <x v="0"/>
    <n v="1531.2"/>
    <n v="1955.56"/>
    <s v="New"/>
    <n v="0"/>
    <s v="Credit Card"/>
    <s v="Online"/>
    <s v="East-David"/>
    <n v="15312"/>
    <n v="19555.599999999999"/>
    <n v="4243.5999999999985"/>
  </r>
  <r>
    <n v="1044"/>
    <d v="2023-05-23T00:00:00"/>
    <s v="Bob"/>
    <s v="West"/>
    <n v="8552.4699999999993"/>
    <n v="19"/>
    <x v="1"/>
    <n v="2182.75"/>
    <n v="2504.0299999999902"/>
    <s v="New"/>
    <n v="0.01"/>
    <s v="Bank Transfer"/>
    <s v="Online"/>
    <s v="West-Bob"/>
    <n v="41472.25"/>
    <n v="47576.569999999811"/>
    <n v="6104.3199999998105"/>
  </r>
  <r>
    <n v="1086"/>
    <d v="2023-06-02T00:00:00"/>
    <s v="Bob"/>
    <s v="East"/>
    <n v="2495.5700000000002"/>
    <n v="3"/>
    <x v="3"/>
    <n v="1595.35"/>
    <n v="1625.70999999999"/>
    <s v="New"/>
    <n v="0.27"/>
    <s v="Cash"/>
    <s v="Online"/>
    <s v="East-Bob"/>
    <n v="4786.0499999999993"/>
    <n v="4877.1299999999701"/>
    <n v="91.079999999970823"/>
  </r>
  <r>
    <n v="1091"/>
    <d v="2023-05-25T00:00:00"/>
    <s v="Alice"/>
    <s v="North"/>
    <n v="9610.2099999999991"/>
    <n v="24"/>
    <x v="2"/>
    <n v="3639.3"/>
    <n v="3750.63"/>
    <s v="New"/>
    <n v="0.23"/>
    <s v="Bank Transfer"/>
    <s v="Retail"/>
    <s v="North-Alice"/>
    <n v="87343.200000000012"/>
    <n v="90015.12"/>
    <n v="2671.9199999999837"/>
  </r>
  <r>
    <n v="1035"/>
    <d v="2023-08-13T00:00:00"/>
    <s v="Alice"/>
    <s v="West"/>
    <n v="2049.56"/>
    <n v="5"/>
    <x v="2"/>
    <n v="3991.69"/>
    <n v="4454.97"/>
    <s v="New"/>
    <n v="0.14000000000000001"/>
    <s v="Credit Card"/>
    <s v="Retail"/>
    <s v="West-Alice"/>
    <n v="19958.45"/>
    <n v="22274.850000000002"/>
    <n v="2316.4000000000015"/>
  </r>
  <r>
    <n v="1065"/>
    <d v="2023-11-05T00:00:00"/>
    <s v="Alice"/>
    <s v="East"/>
    <n v="9519.16"/>
    <n v="3"/>
    <x v="0"/>
    <n v="4173.04"/>
    <n v="4362.4399999999996"/>
    <s v="New"/>
    <n v="0.23"/>
    <s v="Bank Transfer"/>
    <s v="Retail"/>
    <s v="East-Alice"/>
    <n v="12519.119999999999"/>
    <n v="13087.32"/>
    <n v="568.20000000000073"/>
  </r>
  <r>
    <n v="1099"/>
    <d v="2023-04-14T00:00:00"/>
    <s v="Alice"/>
    <s v="East"/>
    <n v="9948.7099999999991"/>
    <n v="27"/>
    <x v="1"/>
    <n v="4929.55"/>
    <n v="4990.33"/>
    <s v="Returning"/>
    <n v="0.28999999999999998"/>
    <s v="Credit Card"/>
    <s v="Online"/>
    <s v="East-Alice"/>
    <n v="133097.85"/>
    <n v="134738.91"/>
    <n v="1641.0599999999977"/>
  </r>
  <r>
    <n v="1047"/>
    <d v="2023-04-14T00:00:00"/>
    <s v="Eve"/>
    <s v="West"/>
    <n v="7146.06"/>
    <n v="16"/>
    <x v="2"/>
    <n v="3966.86"/>
    <n v="4321.04"/>
    <s v="Returning"/>
    <n v="0.23"/>
    <s v="Credit Card"/>
    <s v="Retail"/>
    <s v="West-Eve"/>
    <n v="63469.760000000002"/>
    <n v="69136.639999999999"/>
    <n v="5666.8799999999974"/>
  </r>
  <r>
    <n v="1078"/>
    <d v="2023-02-08T00:00:00"/>
    <s v="Alice"/>
    <s v="South"/>
    <n v="9813.32"/>
    <n v="49"/>
    <x v="0"/>
    <n v="3026.85"/>
    <n v="3183.58"/>
    <s v="Returning"/>
    <n v="0.25"/>
    <s v="Cash"/>
    <s v="Retail"/>
    <s v="South-Alice"/>
    <n v="148315.65"/>
    <n v="155995.41999999998"/>
    <n v="7679.7699999999895"/>
  </r>
  <r>
    <n v="1003"/>
    <d v="2023-07-17T00:00:00"/>
    <s v="Eve"/>
    <s v="West"/>
    <n v="5738.44"/>
    <n v="15"/>
    <x v="3"/>
    <n v="1729.14"/>
    <n v="1870.88"/>
    <s v="Returning"/>
    <n v="0.23"/>
    <s v="Cash"/>
    <s v="Online"/>
    <s v="West-Eve"/>
    <n v="25937.100000000002"/>
    <n v="28063.200000000001"/>
    <n v="2126.0999999999985"/>
  </r>
  <r>
    <n v="1001"/>
    <d v="2023-05-14T00:00:00"/>
    <s v="Eve"/>
    <s v="South"/>
    <n v="2669.46"/>
    <n v="35"/>
    <x v="3"/>
    <n v="2745.75"/>
    <n v="3244.76"/>
    <s v="New"/>
    <n v="0.05"/>
    <s v="Bank Transfer"/>
    <s v="Online"/>
    <s v="South-Eve"/>
    <n v="96101.25"/>
    <n v="113566.6"/>
    <n v="17465.350000000006"/>
  </r>
  <r>
    <n v="1005"/>
    <d v="2023-03-08T00:00:00"/>
    <s v="Alice"/>
    <s v="North"/>
    <n v="4426.26"/>
    <n v="12"/>
    <x v="2"/>
    <n v="253.29"/>
    <n v="683.78"/>
    <s v="New"/>
    <n v="0.25"/>
    <s v="Credit Card"/>
    <s v="Online"/>
    <s v="North-Alice"/>
    <n v="3039.48"/>
    <n v="8205.36"/>
    <n v="5165.880000000001"/>
  </r>
  <r>
    <n v="1090"/>
    <d v="2023-06-28T00:00:00"/>
    <s v="Charlie"/>
    <s v="North"/>
    <n v="5976.25"/>
    <n v="41"/>
    <x v="2"/>
    <n v="3736.88"/>
    <n v="3946.77"/>
    <s v="Returning"/>
    <n v="0.06"/>
    <s v="Credit Card"/>
    <s v="Online"/>
    <s v="North-Charlie"/>
    <n v="153212.08000000002"/>
    <n v="161817.57"/>
    <n v="8605.4899999999907"/>
  </r>
  <r>
    <n v="1014"/>
    <d v="2023-02-11T00:00:00"/>
    <s v="David"/>
    <s v="West"/>
    <n v="823.51"/>
    <n v="44"/>
    <x v="1"/>
    <n v="2257.48"/>
    <n v="2747.81"/>
    <s v="Returning"/>
    <n v="0.27"/>
    <s v="Cash"/>
    <s v="Online"/>
    <s v="West-David"/>
    <n v="99329.12"/>
    <n v="120903.64"/>
    <n v="21574.520000000004"/>
  </r>
  <r>
    <n v="1027"/>
    <d v="2023-01-15T00:00:00"/>
    <s v="Bob"/>
    <s v="West"/>
    <n v="6261.2"/>
    <n v="26"/>
    <x v="1"/>
    <n v="149.11000000000001"/>
    <n v="477.67"/>
    <s v="Returning"/>
    <n v="0.14000000000000001"/>
    <s v="Cash"/>
    <s v="Retail"/>
    <s v="West-Bob"/>
    <n v="3876.8600000000006"/>
    <n v="12419.42"/>
    <n v="8542.56"/>
  </r>
  <r>
    <n v="1009"/>
    <d v="2023-04-21T00:00:00"/>
    <s v="Eve"/>
    <s v="North"/>
    <n v="9813.66"/>
    <n v="47"/>
    <x v="2"/>
    <n v="359.41"/>
    <n v="733"/>
    <s v="Returning"/>
    <n v="0.2"/>
    <s v="Bank Transfer"/>
    <s v="Retail"/>
    <s v="North-Eve"/>
    <n v="16892.27"/>
    <n v="34451"/>
    <n v="17558.73"/>
  </r>
  <r>
    <n v="1079"/>
    <d v="2023-06-06T00:00:00"/>
    <s v="David"/>
    <s v="South"/>
    <n v="1982.07"/>
    <n v="34"/>
    <x v="0"/>
    <n v="1967.96"/>
    <n v="1993.4"/>
    <s v="Returning"/>
    <n v="0.15"/>
    <s v="Credit Card"/>
    <s v="Online"/>
    <s v="South-David"/>
    <n v="66910.64"/>
    <n v="67775.600000000006"/>
    <n v="864.9600000000064"/>
  </r>
  <r>
    <n v="1015"/>
    <d v="2023-10-16T00:00:00"/>
    <s v="Charlie"/>
    <s v="North"/>
    <n v="7946.69"/>
    <n v="23"/>
    <x v="1"/>
    <n v="2937.94"/>
    <n v="3007.53"/>
    <s v="Returning"/>
    <n v="0.03"/>
    <s v="Cash"/>
    <s v="Retail"/>
    <s v="North-Charlie"/>
    <n v="67572.62"/>
    <n v="69173.19"/>
    <n v="1600.570000000007"/>
  </r>
  <r>
    <n v="1090"/>
    <d v="2023-08-19T00:00:00"/>
    <s v="Bob"/>
    <s v="West"/>
    <n v="9088.2000000000007"/>
    <n v="31"/>
    <x v="2"/>
    <n v="2347.81"/>
    <n v="2668.02"/>
    <s v="Returning"/>
    <n v="0.09"/>
    <s v="Bank Transfer"/>
    <s v="Retail"/>
    <s v="West-Bob"/>
    <n v="72782.11"/>
    <n v="82708.62"/>
    <n v="9926.5099999999948"/>
  </r>
  <r>
    <n v="1042"/>
    <d v="2023-06-06T00:00:00"/>
    <s v="Bob"/>
    <s v="North"/>
    <n v="9442.65"/>
    <n v="20"/>
    <x v="1"/>
    <n v="3115.06"/>
    <n v="3565.58"/>
    <s v="Returning"/>
    <n v="0.3"/>
    <s v="Credit Card"/>
    <s v="Retail"/>
    <s v="North-Bob"/>
    <n v="62301.2"/>
    <n v="71311.600000000006"/>
    <n v="9010.4000000000087"/>
  </r>
  <r>
    <n v="1077"/>
    <d v="2023-02-07T00:00:00"/>
    <s v="Eve"/>
    <s v="West"/>
    <n v="9605.34"/>
    <n v="12"/>
    <x v="2"/>
    <n v="2427.46"/>
    <n v="2743.09"/>
    <s v="New"/>
    <n v="0.28999999999999998"/>
    <s v="Credit Card"/>
    <s v="Retail"/>
    <s v="West-Eve"/>
    <n v="29129.52"/>
    <n v="32917.08"/>
    <n v="3787.5600000000013"/>
  </r>
  <r>
    <n v="1051"/>
    <d v="2023-04-07T00:00:00"/>
    <s v="Alice"/>
    <s v="West"/>
    <n v="5262.45"/>
    <n v="23"/>
    <x v="3"/>
    <n v="3325.43"/>
    <n v="3401.1"/>
    <s v="New"/>
    <n v="0.1"/>
    <s v="Cash"/>
    <s v="Online"/>
    <s v="West-Alice"/>
    <n v="76484.89"/>
    <n v="78225.3"/>
    <n v="1740.4100000000035"/>
  </r>
  <r>
    <n v="1063"/>
    <d v="2023-10-16T00:00:00"/>
    <s v="Charlie"/>
    <s v="North"/>
    <n v="9775.35"/>
    <n v="4"/>
    <x v="2"/>
    <n v="1134.67"/>
    <n v="1201.3900000000001"/>
    <s v="New"/>
    <n v="0.3"/>
    <s v="Bank Transfer"/>
    <s v="Retail"/>
    <s v="North-Charlie"/>
    <n v="4538.68"/>
    <n v="4805.5600000000004"/>
    <n v="266.88000000000011"/>
  </r>
  <r>
    <n v="1096"/>
    <d v="2023-09-11T00:00:00"/>
    <s v="Eve"/>
    <s v="South"/>
    <n v="7597.37"/>
    <n v="23"/>
    <x v="3"/>
    <n v="608.57000000000005"/>
    <n v="1032.22"/>
    <s v="New"/>
    <n v="0.25"/>
    <s v="Cash"/>
    <s v="Retail"/>
    <s v="South-Eve"/>
    <n v="13997.11"/>
    <n v="23741.06"/>
    <n v="9743.9500000000007"/>
  </r>
  <r>
    <n v="1052"/>
    <d v="2023-07-15T00:00:00"/>
    <s v="Charlie"/>
    <s v="East"/>
    <n v="1700.55"/>
    <n v="48"/>
    <x v="1"/>
    <n v="3002.35"/>
    <n v="3080.61"/>
    <s v="Returning"/>
    <n v="0.18"/>
    <s v="Bank Transfer"/>
    <s v="Retail"/>
    <s v="East-Charlie"/>
    <n v="144112.79999999999"/>
    <n v="147869.28"/>
    <n v="3756.4800000000105"/>
  </r>
  <r>
    <n v="1096"/>
    <d v="2023-03-27T00:00:00"/>
    <s v="Alice"/>
    <s v="North"/>
    <n v="4821.3100000000004"/>
    <n v="48"/>
    <x v="2"/>
    <n v="2449.21"/>
    <n v="2714.12"/>
    <s v="New"/>
    <n v="0.01"/>
    <s v="Credit Card"/>
    <s v="Online"/>
    <s v="North-Alice"/>
    <n v="117562.08"/>
    <n v="130277.75999999999"/>
    <n v="12715.679999999993"/>
  </r>
  <r>
    <n v="1004"/>
    <d v="2023-11-18T00:00:00"/>
    <s v="Alice"/>
    <s v="East"/>
    <n v="7211.48"/>
    <n v="1"/>
    <x v="1"/>
    <n v="182.99"/>
    <n v="211.18"/>
    <s v="Returning"/>
    <n v="0.27"/>
    <s v="Bank Transfer"/>
    <s v="Retail"/>
    <s v="East-Alice"/>
    <n v="182.99"/>
    <n v="211.18"/>
    <n v="28.189999999999998"/>
  </r>
  <r>
    <n v="1094"/>
    <d v="2023-01-10T00:00:00"/>
    <s v="Eve"/>
    <s v="North"/>
    <n v="2548.67"/>
    <n v="25"/>
    <x v="3"/>
    <n v="1933.39"/>
    <n v="1982.92"/>
    <s v="New"/>
    <n v="0.17"/>
    <s v="Bank Transfer"/>
    <s v="Online"/>
    <s v="North-Eve"/>
    <n v="48334.75"/>
    <n v="49573"/>
    <n v="1238.25"/>
  </r>
  <r>
    <n v="1023"/>
    <d v="2023-01-05T00:00:00"/>
    <s v="Alice"/>
    <s v="East"/>
    <n v="6442.09"/>
    <n v="2"/>
    <x v="2"/>
    <n v="575.32000000000005"/>
    <n v="914.77"/>
    <s v="Returning"/>
    <n v="0.26"/>
    <s v="Bank Transfer"/>
    <s v="Online"/>
    <s v="East-Alice"/>
    <n v="1150.6400000000001"/>
    <n v="1829.54"/>
    <n v="678.89999999999986"/>
  </r>
  <r>
    <n v="1015"/>
    <d v="2023-05-03T00:00:00"/>
    <s v="David"/>
    <s v="South"/>
    <n v="6699.34"/>
    <n v="30"/>
    <x v="1"/>
    <n v="2680.22"/>
    <n v="3027.9199999999901"/>
    <s v="Returning"/>
    <n v="0.25"/>
    <s v="Bank Transfer"/>
    <s v="Online"/>
    <s v="South-David"/>
    <n v="80406.599999999991"/>
    <n v="90837.5999999997"/>
    <n v="10430.999999999709"/>
  </r>
  <r>
    <n v="1043"/>
    <d v="2023-11-26T00:00:00"/>
    <s v="Bob"/>
    <s v="South"/>
    <n v="1710.73"/>
    <n v="3"/>
    <x v="3"/>
    <n v="2009.1"/>
    <n v="2186.42"/>
    <s v="New"/>
    <n v="0.25"/>
    <s v="Bank Transfer"/>
    <s v="Online"/>
    <s v="South-Bob"/>
    <n v="6027.2999999999993"/>
    <n v="6559.26"/>
    <n v="531.96000000000095"/>
  </r>
  <r>
    <n v="1029"/>
    <d v="2023-12-19T00:00:00"/>
    <s v="Eve"/>
    <s v="North"/>
    <n v="5694.34"/>
    <n v="21"/>
    <x v="1"/>
    <n v="3085.1"/>
    <n v="3200.75"/>
    <s v="New"/>
    <n v="0.21"/>
    <s v="Cash"/>
    <s v="Retail"/>
    <s v="North-Eve"/>
    <n v="64787.1"/>
    <n v="67215.75"/>
    <n v="2428.6500000000015"/>
  </r>
  <r>
    <n v="1036"/>
    <d v="2023-04-28T00:00:00"/>
    <s v="Charlie"/>
    <s v="West"/>
    <n v="7739.11"/>
    <n v="25"/>
    <x v="0"/>
    <n v="4037.73"/>
    <n v="4446.45"/>
    <s v="Returning"/>
    <n v="0.09"/>
    <s v="Bank Transfer"/>
    <s v="Online"/>
    <s v="West-Charlie"/>
    <n v="100943.25"/>
    <n v="111161.25"/>
    <n v="10218"/>
  </r>
  <r>
    <n v="1013"/>
    <d v="2023-10-21T00:00:00"/>
    <s v="David"/>
    <s v="East"/>
    <n v="5039.07"/>
    <n v="20"/>
    <x v="3"/>
    <n v="1533.36"/>
    <n v="1649.73999999999"/>
    <s v="Returning"/>
    <n v="0.1"/>
    <s v="Bank Transfer"/>
    <s v="Online"/>
    <s v="East-David"/>
    <n v="30667.199999999997"/>
    <n v="32994.799999999799"/>
    <n v="2327.5999999998021"/>
  </r>
  <r>
    <n v="1032"/>
    <d v="2023-06-08T00:00:00"/>
    <s v="Eve"/>
    <s v="West"/>
    <n v="219.82"/>
    <n v="49"/>
    <x v="3"/>
    <n v="4812.41"/>
    <n v="5088"/>
    <s v="Returning"/>
    <n v="0.09"/>
    <s v="Credit Card"/>
    <s v="Online"/>
    <s v="West-Eve"/>
    <n v="235808.09"/>
    <n v="249312"/>
    <n v="13503.910000000003"/>
  </r>
  <r>
    <n v="1071"/>
    <d v="2023-10-30T00:00:00"/>
    <s v="Alice"/>
    <s v="West"/>
    <n v="189.48"/>
    <n v="22"/>
    <x v="3"/>
    <n v="2701.39"/>
    <n v="3185.81"/>
    <s v="New"/>
    <n v="0.01"/>
    <s v="Bank Transfer"/>
    <s v="Online"/>
    <s v="West-Alice"/>
    <n v="59430.579999999994"/>
    <n v="70087.819999999992"/>
    <n v="10657.239999999998"/>
  </r>
  <r>
    <n v="1059"/>
    <d v="2023-08-16T00:00:00"/>
    <s v="Alice"/>
    <s v="West"/>
    <n v="3634.59"/>
    <n v="21"/>
    <x v="2"/>
    <n v="3110.54"/>
    <n v="3192.99"/>
    <s v="New"/>
    <n v="0.17"/>
    <s v="Credit Card"/>
    <s v="Online"/>
    <s v="West-Alice"/>
    <n v="65321.34"/>
    <n v="67052.789999999994"/>
    <n v="1731.4499999999971"/>
  </r>
  <r>
    <n v="1086"/>
    <d v="2023-12-31T00:00:00"/>
    <s v="Alice"/>
    <s v="South"/>
    <n v="9269.32"/>
    <n v="33"/>
    <x v="2"/>
    <n v="3419.33"/>
    <n v="3890.3599999999901"/>
    <s v="Returning"/>
    <n v="0.21"/>
    <s v="Cash"/>
    <s v="Retail"/>
    <s v="South-Alice"/>
    <n v="112837.89"/>
    <n v="128381.87999999967"/>
    <n v="15543.989999999671"/>
  </r>
  <r>
    <n v="1028"/>
    <d v="2023-08-04T00:00:00"/>
    <s v="Alice"/>
    <s v="North"/>
    <n v="2363.9"/>
    <n v="38"/>
    <x v="2"/>
    <n v="3350.32"/>
    <n v="3449.94"/>
    <s v="New"/>
    <n v="0.26"/>
    <s v="Cash"/>
    <s v="Online"/>
    <s v="North-Alice"/>
    <n v="127312.16"/>
    <n v="131097.72"/>
    <n v="3785.5599999999977"/>
  </r>
  <r>
    <n v="1066"/>
    <d v="2023-07-03T00:00:00"/>
    <s v="Charlie"/>
    <s v="North"/>
    <n v="6380.2"/>
    <n v="15"/>
    <x v="0"/>
    <n v="2579.31"/>
    <n v="2867.36"/>
    <s v="Returning"/>
    <n v="0.04"/>
    <s v="Bank Transfer"/>
    <s v="Retail"/>
    <s v="North-Charlie"/>
    <n v="38689.65"/>
    <n v="43010.400000000001"/>
    <n v="4320.75"/>
  </r>
  <r>
    <n v="1042"/>
    <d v="2023-01-15T00:00:00"/>
    <s v="David"/>
    <s v="South"/>
    <n v="2298.5500000000002"/>
    <n v="46"/>
    <x v="0"/>
    <n v="2172.38"/>
    <n v="2367.11"/>
    <s v="New"/>
    <n v="0.16"/>
    <s v="Cash"/>
    <s v="Retail"/>
    <s v="South-David"/>
    <n v="99929.48000000001"/>
    <n v="108887.06000000001"/>
    <n v="8957.5800000000017"/>
  </r>
  <r>
    <n v="1045"/>
    <d v="2023-06-06T00:00:00"/>
    <s v="Bob"/>
    <s v="South"/>
    <n v="3284.53"/>
    <n v="15"/>
    <x v="3"/>
    <n v="316.22000000000003"/>
    <n v="799.04"/>
    <s v="New"/>
    <n v="0"/>
    <s v="Bank Transfer"/>
    <s v="Online"/>
    <s v="South-Bob"/>
    <n v="4743.3"/>
    <n v="11985.599999999999"/>
    <n v="7242.2999999999984"/>
  </r>
  <r>
    <n v="1062"/>
    <d v="2023-05-16T00:00:00"/>
    <s v="Charlie"/>
    <s v="North"/>
    <n v="8495.6200000000008"/>
    <n v="46"/>
    <x v="0"/>
    <n v="159.32"/>
    <n v="303.36"/>
    <s v="New"/>
    <n v="0.03"/>
    <s v="Cash"/>
    <s v="Retail"/>
    <s v="North-Charlie"/>
    <n v="7328.7199999999993"/>
    <n v="13954.560000000001"/>
    <n v="6625.840000000002"/>
  </r>
  <r>
    <n v="1057"/>
    <d v="2023-09-18T00:00:00"/>
    <s v="Charlie"/>
    <s v="West"/>
    <n v="7315.73"/>
    <n v="25"/>
    <x v="1"/>
    <n v="1821.91"/>
    <n v="2027.74"/>
    <s v="New"/>
    <n v="0.02"/>
    <s v="Bank Transfer"/>
    <s v="Retail"/>
    <s v="West-Charlie"/>
    <n v="45547.75"/>
    <n v="50693.5"/>
    <n v="5145.75"/>
  </r>
  <r>
    <n v="1006"/>
    <d v="2023-06-06T00:00:00"/>
    <s v="Bob"/>
    <s v="East"/>
    <n v="1044.45"/>
    <n v="21"/>
    <x v="3"/>
    <n v="1701.62"/>
    <n v="2193.2199999999998"/>
    <s v="New"/>
    <n v="0.22"/>
    <s v="Bank Transfer"/>
    <s v="Retail"/>
    <s v="East-Bob"/>
    <n v="35734.019999999997"/>
    <n v="46057.619999999995"/>
    <n v="10323.599999999999"/>
  </r>
  <r>
    <n v="1028"/>
    <d v="2023-02-16T00:00:00"/>
    <s v="Bob"/>
    <s v="East"/>
    <n v="4344.1499999999996"/>
    <n v="24"/>
    <x v="3"/>
    <n v="1969.09"/>
    <n v="2241.96"/>
    <s v="Returning"/>
    <n v="0.02"/>
    <s v="Credit Card"/>
    <s v="Online"/>
    <s v="East-Bob"/>
    <n v="47258.159999999996"/>
    <n v="53807.040000000001"/>
    <n v="6548.8800000000047"/>
  </r>
  <r>
    <n v="1028"/>
    <d v="2023-11-20T00:00:00"/>
    <s v="Alice"/>
    <s v="East"/>
    <n v="388.78"/>
    <n v="5"/>
    <x v="1"/>
    <n v="734.92"/>
    <n v="991.21"/>
    <s v="Returning"/>
    <n v="0.21"/>
    <s v="Credit Card"/>
    <s v="Online"/>
    <s v="East-Alice"/>
    <n v="3674.6"/>
    <n v="4956.05"/>
    <n v="1281.4500000000003"/>
  </r>
  <r>
    <n v="1044"/>
    <d v="2023-11-28T00:00:00"/>
    <s v="Charlie"/>
    <s v="West"/>
    <n v="4860.8100000000004"/>
    <n v="6"/>
    <x v="3"/>
    <n v="3703.93"/>
    <n v="3840.24"/>
    <s v="New"/>
    <n v="7.0000000000000007E-2"/>
    <s v="Credit Card"/>
    <s v="Online"/>
    <s v="West-Charlie"/>
    <n v="22223.579999999998"/>
    <n v="23041.439999999999"/>
    <n v="817.86000000000058"/>
  </r>
  <r>
    <n v="1084"/>
    <d v="2023-06-22T00:00:00"/>
    <s v="Eve"/>
    <s v="North"/>
    <n v="6658.1"/>
    <n v="49"/>
    <x v="0"/>
    <n v="4291.97"/>
    <n v="4645.6400000000003"/>
    <s v="Returning"/>
    <n v="0.26"/>
    <s v="Credit Card"/>
    <s v="Online"/>
    <s v="North-Eve"/>
    <n v="210306.53"/>
    <n v="227636.36000000002"/>
    <n v="17329.830000000016"/>
  </r>
  <r>
    <n v="1030"/>
    <d v="2023-05-10T00:00:00"/>
    <s v="Bob"/>
    <s v="South"/>
    <n v="1273.18"/>
    <n v="43"/>
    <x v="2"/>
    <n v="4696.6400000000003"/>
    <n v="4713.68"/>
    <s v="Returning"/>
    <n v="0.24"/>
    <s v="Bank Transfer"/>
    <s v="Online"/>
    <s v="South-Bob"/>
    <n v="201955.52000000002"/>
    <n v="202688.24000000002"/>
    <n v="732.72000000000116"/>
  </r>
  <r>
    <n v="1062"/>
    <d v="2023-04-05T00:00:00"/>
    <s v="Bob"/>
    <s v="North"/>
    <n v="2959.96"/>
    <n v="48"/>
    <x v="1"/>
    <n v="2487.19"/>
    <n v="2521.4499999999998"/>
    <s v="New"/>
    <n v="0.28999999999999998"/>
    <s v="Cash"/>
    <s v="Online"/>
    <s v="North-Bob"/>
    <n v="119385.12"/>
    <n v="121029.59999999999"/>
    <n v="1644.4799999999959"/>
  </r>
  <r>
    <n v="1075"/>
    <d v="2023-04-25T00:00:00"/>
    <s v="David"/>
    <s v="West"/>
    <n v="4038.58"/>
    <n v="44"/>
    <x v="0"/>
    <n v="3519.29"/>
    <n v="3822.98"/>
    <s v="Returning"/>
    <n v="0.27"/>
    <s v="Bank Transfer"/>
    <s v="Online"/>
    <s v="West-David"/>
    <n v="154848.76"/>
    <n v="168211.12"/>
    <n v="13362.359999999986"/>
  </r>
  <r>
    <n v="1092"/>
    <d v="2023-08-31T00:00:00"/>
    <s v="Eve"/>
    <s v="South"/>
    <n v="9203.36"/>
    <n v="47"/>
    <x v="1"/>
    <n v="4284.9799999999996"/>
    <n v="4462.3999999999996"/>
    <s v="New"/>
    <n v="0.28000000000000003"/>
    <s v="Credit Card"/>
    <s v="Retail"/>
    <s v="South-Eve"/>
    <n v="201394.05999999997"/>
    <n v="209732.8"/>
    <n v="8338.7400000000198"/>
  </r>
  <r>
    <n v="1089"/>
    <d v="2023-10-19T00:00:00"/>
    <s v="Eve"/>
    <s v="West"/>
    <n v="9933.2199999999993"/>
    <n v="23"/>
    <x v="1"/>
    <n v="2120.54"/>
    <n v="2597.67"/>
    <s v="Returning"/>
    <n v="0.26"/>
    <s v="Credit Card"/>
    <s v="Retail"/>
    <s v="West-Eve"/>
    <n v="48772.42"/>
    <n v="59746.41"/>
    <n v="10973.990000000005"/>
  </r>
  <r>
    <n v="1062"/>
    <d v="2023-10-09T00:00:00"/>
    <s v="Bob"/>
    <s v="East"/>
    <n v="544.62"/>
    <n v="4"/>
    <x v="3"/>
    <n v="1581.59"/>
    <n v="2034.1499999999901"/>
    <s v="Returning"/>
    <n v="0.21"/>
    <s v="Cash"/>
    <s v="Online"/>
    <s v="East-Bob"/>
    <n v="6326.36"/>
    <n v="8136.5999999999603"/>
    <n v="1810.2399999999607"/>
  </r>
  <r>
    <n v="1097"/>
    <d v="2023-10-26T00:00:00"/>
    <s v="Alice"/>
    <s v="East"/>
    <n v="7633.98"/>
    <n v="27"/>
    <x v="3"/>
    <n v="4686.79"/>
    <n v="5046.51"/>
    <s v="Returning"/>
    <n v="0.05"/>
    <s v="Credit Card"/>
    <s v="Retail"/>
    <s v="East-Alice"/>
    <n v="126543.33"/>
    <n v="136255.77000000002"/>
    <n v="9712.4400000000169"/>
  </r>
  <r>
    <n v="1001"/>
    <d v="2023-10-10T00:00:00"/>
    <s v="David"/>
    <s v="West"/>
    <n v="3780.07"/>
    <n v="18"/>
    <x v="0"/>
    <n v="2602.6"/>
    <n v="3013.49"/>
    <s v="Returning"/>
    <n v="0.08"/>
    <s v="Bank Transfer"/>
    <s v="Online"/>
    <s v="West-David"/>
    <n v="46846.799999999996"/>
    <n v="54242.819999999992"/>
    <n v="7396.0199999999968"/>
  </r>
  <r>
    <n v="1027"/>
    <d v="2023-03-10T00:00:00"/>
    <s v="Eve"/>
    <s v="South"/>
    <n v="3985.34"/>
    <n v="21"/>
    <x v="1"/>
    <n v="2511.41"/>
    <n v="2848.3999999999901"/>
    <s v="Returning"/>
    <n v="0.06"/>
    <s v="Bank Transfer"/>
    <s v="Online"/>
    <s v="South-Eve"/>
    <n v="52739.61"/>
    <n v="59816.39999999979"/>
    <n v="7076.7899999997899"/>
  </r>
  <r>
    <n v="1062"/>
    <d v="2023-05-28T00:00:00"/>
    <s v="Bob"/>
    <s v="South"/>
    <n v="7567.22"/>
    <n v="28"/>
    <x v="3"/>
    <n v="933.16"/>
    <n v="1004.69999999999"/>
    <s v="Returning"/>
    <n v="0.18"/>
    <s v="Bank Transfer"/>
    <s v="Online"/>
    <s v="South-Bob"/>
    <n v="26128.48"/>
    <n v="28131.599999999722"/>
    <n v="2003.1199999997225"/>
  </r>
  <r>
    <n v="1077"/>
    <d v="2023-01-11T00:00:00"/>
    <s v="Eve"/>
    <s v="North"/>
    <n v="9192.42"/>
    <n v="35"/>
    <x v="3"/>
    <n v="585.37"/>
    <n v="970.49"/>
    <s v="Returning"/>
    <n v="0.15"/>
    <s v="Bank Transfer"/>
    <s v="Retail"/>
    <s v="North-Eve"/>
    <n v="20487.95"/>
    <n v="33967.15"/>
    <n v="13479.2"/>
  </r>
  <r>
    <n v="1003"/>
    <d v="2023-09-11T00:00:00"/>
    <s v="David"/>
    <s v="East"/>
    <n v="9514.19"/>
    <n v="22"/>
    <x v="1"/>
    <n v="4218.43"/>
    <n v="4331.42"/>
    <s v="New"/>
    <n v="0.26"/>
    <s v="Bank Transfer"/>
    <s v="Online"/>
    <s v="East-David"/>
    <n v="92805.46"/>
    <n v="95291.24"/>
    <n v="2485.7799999999988"/>
  </r>
  <r>
    <n v="1070"/>
    <d v="2023-11-26T00:00:00"/>
    <s v="David"/>
    <s v="North"/>
    <n v="5813.51"/>
    <n v="40"/>
    <x v="0"/>
    <n v="3089.96"/>
    <n v="3258.45"/>
    <s v="New"/>
    <n v="0.28999999999999998"/>
    <s v="Cash"/>
    <s v="Online"/>
    <s v="North-David"/>
    <n v="123598.39999999999"/>
    <n v="130338"/>
    <n v="6739.6000000000058"/>
  </r>
  <r>
    <n v="1072"/>
    <d v="2023-12-26T00:00:00"/>
    <s v="Charlie"/>
    <s v="North"/>
    <n v="3635.5"/>
    <n v="23"/>
    <x v="0"/>
    <n v="1662.83"/>
    <n v="2074.25"/>
    <s v="New"/>
    <n v="0.12"/>
    <s v="Bank Transfer"/>
    <s v="Online"/>
    <s v="North-Charlie"/>
    <n v="38245.089999999997"/>
    <n v="47707.75"/>
    <n v="9462.6600000000035"/>
  </r>
  <r>
    <n v="1027"/>
    <d v="2023-02-07T00:00:00"/>
    <s v="Bob"/>
    <s v="West"/>
    <n v="7896.74"/>
    <n v="3"/>
    <x v="1"/>
    <n v="999.09"/>
    <n v="1271.99"/>
    <s v="New"/>
    <n v="0.15"/>
    <s v="Credit Card"/>
    <s v="Online"/>
    <s v="West-Bob"/>
    <n v="2997.27"/>
    <n v="3815.9700000000003"/>
    <n v="818.70000000000027"/>
  </r>
  <r>
    <n v="1009"/>
    <d v="2023-05-14T00:00:00"/>
    <s v="David"/>
    <s v="West"/>
    <n v="2584.91"/>
    <n v="40"/>
    <x v="0"/>
    <n v="2799.71"/>
    <n v="3231.08"/>
    <s v="Returning"/>
    <n v="0.28999999999999998"/>
    <s v="Credit Card"/>
    <s v="Retail"/>
    <s v="West-David"/>
    <n v="111988.4"/>
    <n v="129243.2"/>
    <n v="17254.800000000003"/>
  </r>
  <r>
    <n v="1062"/>
    <d v="2023-07-19T00:00:00"/>
    <s v="Charlie"/>
    <s v="North"/>
    <n v="5684.33"/>
    <n v="10"/>
    <x v="3"/>
    <n v="2940.4"/>
    <n v="3054.79"/>
    <s v="Returning"/>
    <n v="0.08"/>
    <s v="Credit Card"/>
    <s v="Online"/>
    <s v="North-Charlie"/>
    <n v="29404"/>
    <n v="30547.9"/>
    <n v="1143.9000000000015"/>
  </r>
  <r>
    <n v="1037"/>
    <d v="2023-01-23T00:00:00"/>
    <s v="Charlie"/>
    <s v="East"/>
    <n v="3649.93"/>
    <n v="25"/>
    <x v="1"/>
    <n v="1074.6199999999999"/>
    <n v="1382.4299999999901"/>
    <s v="Returning"/>
    <n v="0.24"/>
    <s v="Credit Card"/>
    <s v="Retail"/>
    <s v="East-Charlie"/>
    <n v="26865.499999999996"/>
    <n v="34560.749999999753"/>
    <n v="7695.2499999997563"/>
  </r>
  <r>
    <n v="1097"/>
    <d v="2023-10-30T00:00:00"/>
    <s v="Eve"/>
    <s v="West"/>
    <n v="6600.65"/>
    <n v="49"/>
    <x v="3"/>
    <n v="4264.46"/>
    <n v="4315.5200000000004"/>
    <s v="New"/>
    <n v="7.0000000000000007E-2"/>
    <s v="Cash"/>
    <s v="Retail"/>
    <s v="West-Eve"/>
    <n v="208958.54"/>
    <n v="211460.48000000001"/>
    <n v="2501.9400000000023"/>
  </r>
  <r>
    <n v="1051"/>
    <d v="2023-12-12T00:00:00"/>
    <s v="Eve"/>
    <s v="North"/>
    <n v="2479.9499999999998"/>
    <n v="8"/>
    <x v="2"/>
    <n v="467.11"/>
    <n v="792.21"/>
    <s v="New"/>
    <n v="0.2"/>
    <s v="Credit Card"/>
    <s v="Online"/>
    <s v="North-Eve"/>
    <n v="3736.88"/>
    <n v="6337.68"/>
    <n v="2600.8000000000002"/>
  </r>
  <r>
    <n v="1044"/>
    <d v="2023-10-29T00:00:00"/>
    <s v="Charlie"/>
    <s v="North"/>
    <n v="1996.77"/>
    <n v="11"/>
    <x v="2"/>
    <n v="1812.66"/>
    <n v="2196.3000000000002"/>
    <s v="New"/>
    <n v="0.08"/>
    <s v="Cash"/>
    <s v="Online"/>
    <s v="North-Charlie"/>
    <n v="19939.260000000002"/>
    <n v="24159.300000000003"/>
    <n v="4220.0400000000009"/>
  </r>
  <r>
    <n v="1024"/>
    <d v="2023-12-29T00:00:00"/>
    <s v="Eve"/>
    <s v="North"/>
    <n v="9190.57"/>
    <n v="5"/>
    <x v="0"/>
    <n v="3417.9"/>
    <n v="3714.52"/>
    <s v="Returning"/>
    <n v="0.27"/>
    <s v="Credit Card"/>
    <s v="Retail"/>
    <s v="North-Eve"/>
    <n v="17089.5"/>
    <n v="18572.599999999999"/>
    <n v="1483.0999999999985"/>
  </r>
  <r>
    <n v="1079"/>
    <d v="2023-08-06T00:00:00"/>
    <s v="David"/>
    <s v="North"/>
    <n v="1107.8599999999999"/>
    <n v="45"/>
    <x v="2"/>
    <n v="1406.9"/>
    <n v="1547.35"/>
    <s v="New"/>
    <n v="0.17"/>
    <s v="Cash"/>
    <s v="Retail"/>
    <s v="North-David"/>
    <n v="63310.500000000007"/>
    <n v="69630.75"/>
    <n v="6320.2499999999927"/>
  </r>
  <r>
    <n v="1059"/>
    <d v="2023-05-21T00:00:00"/>
    <s v="Alice"/>
    <s v="North"/>
    <n v="5108.9799999999996"/>
    <n v="37"/>
    <x v="3"/>
    <n v="4146.99"/>
    <n v="4172.3499999999904"/>
    <s v="Returning"/>
    <n v="0.06"/>
    <s v="Cash"/>
    <s v="Retail"/>
    <s v="North-Alice"/>
    <n v="153438.63"/>
    <n v="154376.94999999963"/>
    <n v="938.31999999962864"/>
  </r>
  <r>
    <n v="1032"/>
    <d v="2023-04-14T00:00:00"/>
    <s v="David"/>
    <s v="North"/>
    <n v="2286.44"/>
    <n v="45"/>
    <x v="2"/>
    <n v="3712.35"/>
    <n v="3780.88"/>
    <s v="New"/>
    <n v="7.0000000000000007E-2"/>
    <s v="Cash"/>
    <s v="Retail"/>
    <s v="North-David"/>
    <n v="167055.75"/>
    <n v="170139.6"/>
    <n v="3083.8500000000058"/>
  </r>
  <r>
    <n v="1096"/>
    <d v="2023-07-29T00:00:00"/>
    <s v="Charlie"/>
    <s v="West"/>
    <n v="485.41"/>
    <n v="38"/>
    <x v="3"/>
    <n v="3955.66"/>
    <n v="4270.59"/>
    <s v="Returning"/>
    <n v="0.15"/>
    <s v="Credit Card"/>
    <s v="Online"/>
    <s v="West-Charlie"/>
    <n v="150315.07999999999"/>
    <n v="162282.42000000001"/>
    <n v="11967.340000000026"/>
  </r>
  <r>
    <n v="1088"/>
    <d v="2023-04-21T00:00:00"/>
    <s v="Charlie"/>
    <s v="East"/>
    <n v="456.59"/>
    <n v="29"/>
    <x v="0"/>
    <n v="639.58000000000004"/>
    <n v="1107.45"/>
    <s v="New"/>
    <n v="0.28999999999999998"/>
    <s v="Cash"/>
    <s v="Retail"/>
    <s v="East-Charlie"/>
    <n v="18547.82"/>
    <n v="32116.050000000003"/>
    <n v="13568.230000000003"/>
  </r>
  <r>
    <n v="1052"/>
    <d v="2023-04-14T00:00:00"/>
    <s v="David"/>
    <s v="North"/>
    <n v="1834.7"/>
    <n v="5"/>
    <x v="0"/>
    <n v="745.71"/>
    <n v="856.91"/>
    <s v="Returning"/>
    <n v="0.23"/>
    <s v="Bank Transfer"/>
    <s v="Retail"/>
    <s v="North-David"/>
    <n v="3728.55"/>
    <n v="4284.55"/>
    <n v="556"/>
  </r>
  <r>
    <n v="1062"/>
    <d v="2023-11-12T00:00:00"/>
    <s v="Eve"/>
    <s v="South"/>
    <n v="8681.0300000000007"/>
    <n v="9"/>
    <x v="3"/>
    <n v="1468.05"/>
    <n v="1838.21"/>
    <s v="New"/>
    <n v="0.15"/>
    <s v="Bank Transfer"/>
    <s v="Retail"/>
    <s v="South-Eve"/>
    <n v="13212.449999999999"/>
    <n v="16543.89"/>
    <n v="3331.4400000000005"/>
  </r>
  <r>
    <n v="1058"/>
    <d v="2023-06-20T00:00:00"/>
    <s v="Eve"/>
    <s v="West"/>
    <n v="2896.54"/>
    <n v="48"/>
    <x v="2"/>
    <n v="2614.48"/>
    <n v="3049.04"/>
    <s v="New"/>
    <n v="0.1"/>
    <s v="Credit Card"/>
    <s v="Retail"/>
    <s v="West-Eve"/>
    <n v="125495.04000000001"/>
    <n v="146353.91999999998"/>
    <n v="20858.879999999976"/>
  </r>
  <r>
    <n v="1052"/>
    <d v="2023-12-22T00:00:00"/>
    <s v="Charlie"/>
    <s v="West"/>
    <n v="9509.5499999999993"/>
    <n v="2"/>
    <x v="0"/>
    <n v="3752.68"/>
    <n v="4017.91"/>
    <s v="Returning"/>
    <n v="0.16"/>
    <s v="Bank Transfer"/>
    <s v="Online"/>
    <s v="West-Charlie"/>
    <n v="7505.36"/>
    <n v="8035.82"/>
    <n v="530.46"/>
  </r>
  <r>
    <n v="1012"/>
    <d v="2023-11-20T00:00:00"/>
    <s v="Bob"/>
    <s v="North"/>
    <n v="5858.06"/>
    <n v="1"/>
    <x v="1"/>
    <n v="4190.83"/>
    <n v="4528.7699999999904"/>
    <s v="Returning"/>
    <n v="0.22"/>
    <s v="Bank Transfer"/>
    <s v="Online"/>
    <s v="North-Bob"/>
    <n v="4190.83"/>
    <n v="4528.7699999999904"/>
    <n v="337.9399999999905"/>
  </r>
  <r>
    <n v="1039"/>
    <d v="2023-05-13T00:00:00"/>
    <s v="Eve"/>
    <s v="West"/>
    <n v="4422.4799999999996"/>
    <n v="40"/>
    <x v="0"/>
    <n v="3536.46"/>
    <n v="3945.82"/>
    <s v="New"/>
    <n v="0.24"/>
    <s v="Bank Transfer"/>
    <s v="Online"/>
    <s v="West-Eve"/>
    <n v="141458.4"/>
    <n v="157832.80000000002"/>
    <n v="16374.400000000023"/>
  </r>
  <r>
    <n v="1002"/>
    <d v="2023-10-20T00:00:00"/>
    <s v="David"/>
    <s v="North"/>
    <n v="5842.88"/>
    <n v="30"/>
    <x v="2"/>
    <n v="4646.55"/>
    <n v="4784.28"/>
    <s v="Returning"/>
    <n v="0.1"/>
    <s v="Credit Card"/>
    <s v="Retail"/>
    <s v="North-David"/>
    <n v="139396.5"/>
    <n v="143528.4"/>
    <n v="4131.8999999999942"/>
  </r>
  <r>
    <n v="1003"/>
    <d v="2023-11-24T00:00:00"/>
    <s v="Eve"/>
    <s v="East"/>
    <n v="5215.3100000000004"/>
    <n v="11"/>
    <x v="1"/>
    <n v="3706.78"/>
    <n v="3862.26"/>
    <s v="New"/>
    <n v="0.22"/>
    <s v="Credit Card"/>
    <s v="Retail"/>
    <s v="East-Eve"/>
    <n v="40774.58"/>
    <n v="42484.86"/>
    <n v="1710.2799999999988"/>
  </r>
  <r>
    <n v="1056"/>
    <d v="2023-05-07T00:00:00"/>
    <s v="David"/>
    <s v="East"/>
    <n v="7611.88"/>
    <n v="28"/>
    <x v="2"/>
    <n v="1566.03"/>
    <n v="1576.34"/>
    <s v="Returning"/>
    <n v="0.2"/>
    <s v="Bank Transfer"/>
    <s v="Online"/>
    <s v="East-David"/>
    <n v="43848.84"/>
    <n v="44137.52"/>
    <n v="288.68000000000029"/>
  </r>
  <r>
    <n v="1081"/>
    <d v="2023-04-16T00:00:00"/>
    <s v="Charlie"/>
    <s v="West"/>
    <n v="2896.71"/>
    <n v="44"/>
    <x v="3"/>
    <n v="1362.15"/>
    <n v="1844.07"/>
    <s v="New"/>
    <n v="0.28999999999999998"/>
    <s v="Credit Card"/>
    <s v="Online"/>
    <s v="West-Charlie"/>
    <n v="59934.600000000006"/>
    <n v="81139.08"/>
    <n v="21204.479999999996"/>
  </r>
  <r>
    <n v="1059"/>
    <d v="2023-04-02T00:00:00"/>
    <s v="Eve"/>
    <s v="West"/>
    <n v="3595.2"/>
    <n v="12"/>
    <x v="1"/>
    <n v="3496.15"/>
    <n v="3955.75"/>
    <s v="Returning"/>
    <n v="0.28000000000000003"/>
    <s v="Cash"/>
    <s v="Retail"/>
    <s v="West-Eve"/>
    <n v="41953.8"/>
    <n v="47469"/>
    <n v="5515.1999999999971"/>
  </r>
  <r>
    <n v="1002"/>
    <d v="2023-10-14T00:00:00"/>
    <s v="David"/>
    <s v="South"/>
    <n v="8951.5300000000007"/>
    <n v="39"/>
    <x v="2"/>
    <n v="1004.71"/>
    <n v="1389.35"/>
    <s v="New"/>
    <n v="0.24"/>
    <s v="Bank Transfer"/>
    <s v="Online"/>
    <s v="South-David"/>
    <n v="39183.69"/>
    <n v="54184.649999999994"/>
    <n v="15000.959999999992"/>
  </r>
  <r>
    <n v="1002"/>
    <d v="2023-02-20T00:00:00"/>
    <s v="Charlie"/>
    <s v="West"/>
    <n v="9469.92"/>
    <n v="26"/>
    <x v="1"/>
    <n v="508.94"/>
    <n v="557.69000000000005"/>
    <s v="New"/>
    <n v="0.22"/>
    <s v="Credit Card"/>
    <s v="Retail"/>
    <s v="West-Charlie"/>
    <n v="13232.44"/>
    <n v="14499.940000000002"/>
    <n v="1267.5000000000018"/>
  </r>
  <r>
    <n v="1092"/>
    <d v="2023-01-29T00:00:00"/>
    <s v="Bob"/>
    <s v="South"/>
    <n v="8936.33"/>
    <n v="13"/>
    <x v="2"/>
    <n v="2684.5"/>
    <n v="2913.78"/>
    <s v="New"/>
    <n v="0.08"/>
    <s v="Credit Card"/>
    <s v="Retail"/>
    <s v="South-Bob"/>
    <n v="34898.5"/>
    <n v="37879.14"/>
    <n v="2980.6399999999994"/>
  </r>
  <r>
    <n v="1054"/>
    <d v="2023-10-23T00:00:00"/>
    <s v="David"/>
    <s v="East"/>
    <n v="4252.54"/>
    <n v="8"/>
    <x v="1"/>
    <n v="4117.13"/>
    <n v="4177.0600000000004"/>
    <s v="Returning"/>
    <n v="0.25"/>
    <s v="Bank Transfer"/>
    <s v="Retail"/>
    <s v="East-David"/>
    <n v="32937.040000000001"/>
    <n v="33416.480000000003"/>
    <n v="479.44000000000233"/>
  </r>
  <r>
    <n v="1087"/>
    <d v="2023-10-24T00:00:00"/>
    <s v="Bob"/>
    <s v="East"/>
    <n v="7825.62"/>
    <n v="28"/>
    <x v="2"/>
    <n v="551.83000000000004"/>
    <n v="569.63"/>
    <s v="New"/>
    <n v="0.13"/>
    <s v="Credit Card"/>
    <s v="Retail"/>
    <s v="East-Bob"/>
    <n v="15451.240000000002"/>
    <n v="15949.64"/>
    <n v="498.39999999999782"/>
  </r>
  <r>
    <n v="1096"/>
    <d v="2023-08-02T00:00:00"/>
    <s v="Bob"/>
    <s v="North"/>
    <n v="4815.72"/>
    <n v="30"/>
    <x v="3"/>
    <n v="3969.86"/>
    <n v="4281.79"/>
    <s v="Returning"/>
    <n v="0.08"/>
    <s v="Bank Transfer"/>
    <s v="Retail"/>
    <s v="North-Bob"/>
    <n v="119095.8"/>
    <n v="128453.7"/>
    <n v="9357.8999999999942"/>
  </r>
  <r>
    <n v="1097"/>
    <d v="2023-09-24T00:00:00"/>
    <s v="Alice"/>
    <s v="East"/>
    <n v="5025.6400000000003"/>
    <n v="9"/>
    <x v="1"/>
    <n v="4067.28"/>
    <n v="4548.09"/>
    <s v="Returning"/>
    <n v="0.12"/>
    <s v="Credit Card"/>
    <s v="Retail"/>
    <s v="East-Alice"/>
    <n v="36605.520000000004"/>
    <n v="40932.81"/>
    <n v="4327.2899999999936"/>
  </r>
  <r>
    <n v="1001"/>
    <d v="2023-09-14T00:00:00"/>
    <s v="Eve"/>
    <s v="South"/>
    <n v="2126.33"/>
    <n v="39"/>
    <x v="1"/>
    <n v="2437.2600000000002"/>
    <n v="2889.67"/>
    <s v="Returning"/>
    <n v="0.25"/>
    <s v="Cash"/>
    <s v="Online"/>
    <s v="South-Eve"/>
    <n v="95053.140000000014"/>
    <n v="112697.13"/>
    <n v="17643.989999999991"/>
  </r>
  <r>
    <n v="1019"/>
    <d v="2023-10-29T00:00:00"/>
    <s v="David"/>
    <s v="West"/>
    <n v="5952.19"/>
    <n v="31"/>
    <x v="1"/>
    <n v="333.69"/>
    <n v="685.1"/>
    <s v="New"/>
    <n v="0.04"/>
    <s v="Bank Transfer"/>
    <s v="Online"/>
    <s v="West-David"/>
    <n v="10344.39"/>
    <n v="21238.100000000002"/>
    <n v="10893.710000000003"/>
  </r>
  <r>
    <n v="1002"/>
    <d v="2023-04-11T00:00:00"/>
    <s v="Bob"/>
    <s v="North"/>
    <n v="1942.75"/>
    <n v="21"/>
    <x v="1"/>
    <n v="914.22"/>
    <n v="971.57"/>
    <s v="Returning"/>
    <n v="0.14000000000000001"/>
    <s v="Cash"/>
    <s v="Online"/>
    <s v="North-Bob"/>
    <n v="19198.62"/>
    <n v="20402.97"/>
    <n v="1204.3500000000022"/>
  </r>
  <r>
    <n v="1053"/>
    <d v="2023-12-12T00:00:00"/>
    <s v="Alice"/>
    <s v="South"/>
    <n v="3382.49"/>
    <n v="47"/>
    <x v="3"/>
    <n v="3551.76"/>
    <n v="3696.1"/>
    <s v="Returning"/>
    <n v="0.15"/>
    <s v="Bank Transfer"/>
    <s v="Retail"/>
    <s v="South-Alice"/>
    <n v="166932.72"/>
    <n v="173716.69999999998"/>
    <n v="6783.9799999999814"/>
  </r>
  <r>
    <n v="1044"/>
    <d v="2023-04-20T00:00:00"/>
    <s v="Charlie"/>
    <s v="West"/>
    <n v="8564.7999999999993"/>
    <n v="34"/>
    <x v="1"/>
    <n v="3573.3"/>
    <n v="3740.13"/>
    <s v="Returning"/>
    <n v="0.01"/>
    <s v="Credit Card"/>
    <s v="Online"/>
    <s v="West-Charlie"/>
    <n v="121492.20000000001"/>
    <n v="127164.42"/>
    <n v="5672.2199999999866"/>
  </r>
  <r>
    <n v="1090"/>
    <d v="2023-07-01T00:00:00"/>
    <s v="David"/>
    <s v="North"/>
    <n v="2150.0500000000002"/>
    <n v="31"/>
    <x v="0"/>
    <n v="4496.8599999999997"/>
    <n v="4880.7999999999902"/>
    <s v="New"/>
    <n v="0.06"/>
    <s v="Cash"/>
    <s v="Retail"/>
    <s v="North-David"/>
    <n v="139402.66"/>
    <n v="151304.7999999997"/>
    <n v="11902.139999999694"/>
  </r>
  <r>
    <n v="1032"/>
    <d v="2023-11-09T00:00:00"/>
    <s v="Bob"/>
    <s v="East"/>
    <n v="804.47"/>
    <n v="25"/>
    <x v="3"/>
    <n v="2934.3"/>
    <n v="3337.4"/>
    <s v="Returning"/>
    <n v="0.25"/>
    <s v="Credit Card"/>
    <s v="Retail"/>
    <s v="East-Bob"/>
    <n v="73357.5"/>
    <n v="83435"/>
    <n v="10077.5"/>
  </r>
  <r>
    <n v="1070"/>
    <d v="2023-01-01T00:00:00"/>
    <s v="Eve"/>
    <s v="South"/>
    <n v="783.18"/>
    <n v="12"/>
    <x v="0"/>
    <n v="664.33"/>
    <n v="863.03"/>
    <s v="Returning"/>
    <n v="0.25"/>
    <s v="Bank Transfer"/>
    <s v="Retail"/>
    <s v="South-Eve"/>
    <n v="7971.9600000000009"/>
    <n v="10356.36"/>
    <n v="2384.3999999999996"/>
  </r>
  <r>
    <n v="1032"/>
    <d v="2023-11-15T00:00:00"/>
    <s v="Alice"/>
    <s v="West"/>
    <n v="9413.77"/>
    <n v="1"/>
    <x v="1"/>
    <n v="651"/>
    <n v="865.76"/>
    <s v="Returning"/>
    <n v="0.09"/>
    <s v="Bank Transfer"/>
    <s v="Retail"/>
    <s v="West-Alice"/>
    <n v="651"/>
    <n v="865.76"/>
    <n v="214.76"/>
  </r>
  <r>
    <n v="1068"/>
    <d v="2023-02-24T00:00:00"/>
    <s v="Bob"/>
    <s v="North"/>
    <n v="5118.51"/>
    <n v="22"/>
    <x v="2"/>
    <n v="3619.61"/>
    <n v="3651.42"/>
    <s v="Returning"/>
    <n v="0.26"/>
    <s v="Bank Transfer"/>
    <s v="Online"/>
    <s v="North-Bob"/>
    <n v="79631.42"/>
    <n v="80331.240000000005"/>
    <n v="699.82000000000698"/>
  </r>
  <r>
    <n v="1055"/>
    <d v="2023-05-29T00:00:00"/>
    <s v="Eve"/>
    <s v="North"/>
    <n v="4153.18"/>
    <n v="40"/>
    <x v="0"/>
    <n v="959.73"/>
    <n v="1111.4100000000001"/>
    <s v="New"/>
    <n v="0.23"/>
    <s v="Bank Transfer"/>
    <s v="Online"/>
    <s v="North-Eve"/>
    <n v="38389.199999999997"/>
    <n v="44456.4"/>
    <n v="6067.2000000000044"/>
  </r>
  <r>
    <n v="1075"/>
    <d v="2023-11-05T00:00:00"/>
    <s v="Bob"/>
    <s v="East"/>
    <n v="8127.7"/>
    <n v="37"/>
    <x v="1"/>
    <n v="1675.51"/>
    <n v="1906.6399999999901"/>
    <s v="New"/>
    <n v="0.13"/>
    <s v="Bank Transfer"/>
    <s v="Online"/>
    <s v="East-Bob"/>
    <n v="61993.87"/>
    <n v="70545.679999999629"/>
    <n v="8551.8099999996266"/>
  </r>
  <r>
    <n v="1056"/>
    <d v="2023-05-17T00:00:00"/>
    <s v="David"/>
    <s v="West"/>
    <n v="8374.68"/>
    <n v="47"/>
    <x v="0"/>
    <n v="2461.6999999999998"/>
    <n v="2529.02"/>
    <s v="Returning"/>
    <n v="0.22"/>
    <s v="Cash"/>
    <s v="Retail"/>
    <s v="West-David"/>
    <n v="115699.9"/>
    <n v="118863.94"/>
    <n v="3164.0400000000081"/>
  </r>
  <r>
    <n v="1017"/>
    <d v="2023-07-21T00:00:00"/>
    <s v="David"/>
    <s v="East"/>
    <n v="3388.69"/>
    <n v="1"/>
    <x v="1"/>
    <n v="172.59"/>
    <n v="404.69"/>
    <s v="Returning"/>
    <n v="0.28999999999999998"/>
    <s v="Bank Transfer"/>
    <s v="Online"/>
    <s v="East-David"/>
    <n v="172.59"/>
    <n v="404.69"/>
    <n v="232.1"/>
  </r>
  <r>
    <n v="1038"/>
    <d v="2023-11-09T00:00:00"/>
    <s v="David"/>
    <s v="East"/>
    <n v="6966.82"/>
    <n v="1"/>
    <x v="1"/>
    <n v="1281.6500000000001"/>
    <n v="1709.71"/>
    <s v="Returning"/>
    <n v="0.14000000000000001"/>
    <s v="Credit Card"/>
    <s v="Online"/>
    <s v="East-David"/>
    <n v="1281.6500000000001"/>
    <n v="1709.71"/>
    <n v="428.05999999999995"/>
  </r>
  <r>
    <n v="1024"/>
    <d v="2023-04-27T00:00:00"/>
    <s v="Alice"/>
    <s v="West"/>
    <n v="7734.12"/>
    <n v="42"/>
    <x v="1"/>
    <n v="2069.0500000000002"/>
    <n v="2363.9"/>
    <s v="Returning"/>
    <n v="7.0000000000000007E-2"/>
    <s v="Cash"/>
    <s v="Online"/>
    <s v="West-Alice"/>
    <n v="86900.1"/>
    <n v="99283.8"/>
    <n v="12383.699999999997"/>
  </r>
  <r>
    <n v="1069"/>
    <d v="2023-06-03T00:00:00"/>
    <s v="David"/>
    <s v="West"/>
    <n v="6581.04"/>
    <n v="42"/>
    <x v="2"/>
    <n v="1434.2"/>
    <n v="1482.88"/>
    <s v="New"/>
    <n v="0.28000000000000003"/>
    <s v="Credit Card"/>
    <s v="Retail"/>
    <s v="West-David"/>
    <n v="60236.4"/>
    <n v="62280.960000000006"/>
    <n v="2044.5600000000049"/>
  </r>
  <r>
    <n v="1098"/>
    <d v="2023-10-18T00:00:00"/>
    <s v="Eve"/>
    <s v="West"/>
    <n v="1600.79"/>
    <n v="21"/>
    <x v="0"/>
    <n v="725.03"/>
    <n v="828.94999999999902"/>
    <s v="New"/>
    <n v="0.18"/>
    <s v="Bank Transfer"/>
    <s v="Online"/>
    <s v="West-Eve"/>
    <n v="15225.63"/>
    <n v="17407.949999999979"/>
    <n v="2182.3199999999797"/>
  </r>
  <r>
    <n v="1070"/>
    <d v="2023-03-04T00:00:00"/>
    <s v="Bob"/>
    <s v="South"/>
    <n v="8771.24"/>
    <n v="15"/>
    <x v="3"/>
    <n v="3653.66"/>
    <n v="3896.19"/>
    <s v="New"/>
    <n v="0.03"/>
    <s v="Credit Card"/>
    <s v="Retail"/>
    <s v="South-Bob"/>
    <n v="54804.899999999994"/>
    <n v="58442.85"/>
    <n v="3637.9500000000044"/>
  </r>
  <r>
    <n v="1086"/>
    <d v="2023-09-01T00:00:00"/>
    <s v="Charlie"/>
    <s v="West"/>
    <n v="5437.04"/>
    <n v="17"/>
    <x v="3"/>
    <n v="4075.08"/>
    <n v="4262.21"/>
    <s v="New"/>
    <n v="0.17"/>
    <s v="Cash"/>
    <s v="Online"/>
    <s v="West-Charlie"/>
    <n v="69276.36"/>
    <n v="72457.570000000007"/>
    <n v="3181.2100000000064"/>
  </r>
  <r>
    <n v="1011"/>
    <d v="2023-01-25T00:00:00"/>
    <s v="Eve"/>
    <s v="North"/>
    <n v="2896.48"/>
    <n v="22"/>
    <x v="3"/>
    <n v="1324.52"/>
    <n v="1510.3"/>
    <s v="Returning"/>
    <n v="0.15"/>
    <s v="Cash"/>
    <s v="Retail"/>
    <s v="North-Eve"/>
    <n v="29139.439999999999"/>
    <n v="33226.6"/>
    <n v="4087.16"/>
  </r>
  <r>
    <n v="1016"/>
    <d v="2023-03-31T00:00:00"/>
    <s v="Eve"/>
    <s v="East"/>
    <n v="4309.76"/>
    <n v="38"/>
    <x v="3"/>
    <n v="3883.38"/>
    <n v="4152.72"/>
    <s v="Returning"/>
    <n v="0.26"/>
    <s v="Cash"/>
    <s v="Online"/>
    <s v="East-Eve"/>
    <n v="147568.44"/>
    <n v="157803.36000000002"/>
    <n v="10234.920000000013"/>
  </r>
  <r>
    <n v="1097"/>
    <d v="2023-03-16T00:00:00"/>
    <s v="David"/>
    <s v="South"/>
    <n v="471.95"/>
    <n v="35"/>
    <x v="1"/>
    <n v="1958.49"/>
    <n v="2254.84"/>
    <s v="New"/>
    <n v="0.16"/>
    <s v="Credit Card"/>
    <s v="Online"/>
    <s v="South-David"/>
    <n v="68547.149999999994"/>
    <n v="78919.400000000009"/>
    <n v="10372.250000000015"/>
  </r>
  <r>
    <n v="1073"/>
    <d v="2023-10-21T00:00:00"/>
    <s v="Alice"/>
    <s v="West"/>
    <n v="1365.88"/>
    <n v="45"/>
    <x v="0"/>
    <n v="2558.09"/>
    <n v="2958.55"/>
    <s v="New"/>
    <n v="0.08"/>
    <s v="Cash"/>
    <s v="Online"/>
    <s v="West-Alice"/>
    <n v="115114.05"/>
    <n v="133134.75"/>
    <n v="18020.699999999997"/>
  </r>
  <r>
    <n v="1059"/>
    <d v="2023-07-29T00:00:00"/>
    <s v="Bob"/>
    <s v="South"/>
    <n v="7678.91"/>
    <n v="16"/>
    <x v="0"/>
    <n v="4287.21"/>
    <n v="4464.28"/>
    <s v="Returning"/>
    <n v="0.2"/>
    <s v="Credit Card"/>
    <s v="Retail"/>
    <s v="South-Bob"/>
    <n v="68595.360000000001"/>
    <n v="71428.479999999996"/>
    <n v="2833.1199999999953"/>
  </r>
  <r>
    <n v="1070"/>
    <d v="2023-12-13T00:00:00"/>
    <s v="Alice"/>
    <s v="West"/>
    <n v="100.12"/>
    <n v="8"/>
    <x v="2"/>
    <n v="3762.27"/>
    <n v="4166.95"/>
    <s v="Returning"/>
    <n v="0.16"/>
    <s v="Bank Transfer"/>
    <s v="Online"/>
    <s v="West-Alice"/>
    <n v="30098.16"/>
    <n v="33335.599999999999"/>
    <n v="3237.4399999999987"/>
  </r>
  <r>
    <n v="1080"/>
    <d v="2023-01-17T00:00:00"/>
    <s v="Bob"/>
    <s v="South"/>
    <n v="4224"/>
    <n v="47"/>
    <x v="0"/>
    <n v="4035.33"/>
    <n v="4211.25"/>
    <s v="Returning"/>
    <n v="7.0000000000000007E-2"/>
    <s v="Bank Transfer"/>
    <s v="Online"/>
    <s v="South-Bob"/>
    <n v="189660.51"/>
    <n v="197928.75"/>
    <n v="8268.2399999999907"/>
  </r>
  <r>
    <n v="1093"/>
    <d v="2023-05-08T00:00:00"/>
    <s v="Bob"/>
    <s v="East"/>
    <n v="5272.85"/>
    <n v="17"/>
    <x v="0"/>
    <n v="727.38"/>
    <n v="764.54"/>
    <s v="Returning"/>
    <n v="0.17"/>
    <s v="Credit Card"/>
    <s v="Retail"/>
    <s v="East-Bob"/>
    <n v="12365.46"/>
    <n v="12997.18"/>
    <n v="631.72000000000116"/>
  </r>
  <r>
    <n v="1003"/>
    <d v="2023-12-30T00:00:00"/>
    <s v="Alice"/>
    <s v="East"/>
    <n v="640.88"/>
    <n v="17"/>
    <x v="0"/>
    <n v="395.11"/>
    <n v="676.66"/>
    <s v="Returning"/>
    <n v="0.25"/>
    <s v="Cash"/>
    <s v="Retail"/>
    <s v="East-Alice"/>
    <n v="6716.87"/>
    <n v="11503.22"/>
    <n v="4786.3499999999995"/>
  </r>
  <r>
    <n v="1020"/>
    <d v="2023-09-08T00:00:00"/>
    <s v="Eve"/>
    <s v="North"/>
    <n v="9733.4699999999993"/>
    <n v="26"/>
    <x v="2"/>
    <n v="4472.3500000000004"/>
    <n v="4770.42"/>
    <s v="New"/>
    <n v="0.01"/>
    <s v="Credit Card"/>
    <s v="Retail"/>
    <s v="North-Eve"/>
    <n v="116281.1"/>
    <n v="124030.92"/>
    <n v="7749.8199999999924"/>
  </r>
  <r>
    <n v="1059"/>
    <d v="2023-06-28T00:00:00"/>
    <s v="Bob"/>
    <s v="North"/>
    <n v="2338.64"/>
    <n v="13"/>
    <x v="3"/>
    <n v="1969.78"/>
    <n v="2437.6999999999998"/>
    <s v="New"/>
    <n v="0.19"/>
    <s v="Credit Card"/>
    <s v="Retail"/>
    <s v="North-Bob"/>
    <n v="25607.14"/>
    <n v="31690.1"/>
    <n v="6082.9599999999991"/>
  </r>
  <r>
    <n v="1036"/>
    <d v="2023-07-01T00:00:00"/>
    <s v="Alice"/>
    <s v="West"/>
    <n v="3111.57"/>
    <n v="17"/>
    <x v="0"/>
    <n v="1475"/>
    <n v="1840.77"/>
    <s v="Returning"/>
    <n v="0.1"/>
    <s v="Credit Card"/>
    <s v="Online"/>
    <s v="West-Alice"/>
    <n v="25075"/>
    <n v="31293.09"/>
    <n v="6218.09"/>
  </r>
  <r>
    <n v="1019"/>
    <d v="2023-06-01T00:00:00"/>
    <s v="Bob"/>
    <s v="East"/>
    <n v="3109.03"/>
    <n v="38"/>
    <x v="2"/>
    <n v="3637.25"/>
    <n v="4096.96"/>
    <s v="Returning"/>
    <n v="0.09"/>
    <s v="Bank Transfer"/>
    <s v="Online"/>
    <s v="East-Bob"/>
    <n v="138215.5"/>
    <n v="155684.48000000001"/>
    <n v="17468.98000000001"/>
  </r>
  <r>
    <n v="1090"/>
    <d v="2023-01-25T00:00:00"/>
    <s v="Charlie"/>
    <s v="South"/>
    <n v="2381.12"/>
    <n v="17"/>
    <x v="2"/>
    <n v="4190.26"/>
    <n v="4645.3500000000004"/>
    <s v="New"/>
    <n v="0.12"/>
    <s v="Credit Card"/>
    <s v="Retail"/>
    <s v="South-Charlie"/>
    <n v="71234.42"/>
    <n v="78970.950000000012"/>
    <n v="7736.5300000000134"/>
  </r>
  <r>
    <n v="1067"/>
    <d v="2023-06-29T00:00:00"/>
    <s v="Eve"/>
    <s v="South"/>
    <n v="114.59"/>
    <n v="48"/>
    <x v="1"/>
    <n v="4319.32"/>
    <n v="4625.5599999999904"/>
    <s v="Returning"/>
    <n v="0.1"/>
    <s v="Bank Transfer"/>
    <s v="Online"/>
    <s v="South-Eve"/>
    <n v="207327.35999999999"/>
    <n v="222026.87999999954"/>
    <n v="14699.519999999553"/>
  </r>
  <r>
    <n v="1019"/>
    <d v="2023-07-17T00:00:00"/>
    <s v="David"/>
    <s v="South"/>
    <n v="7320.51"/>
    <n v="14"/>
    <x v="2"/>
    <n v="1614.19"/>
    <n v="1882.79"/>
    <s v="New"/>
    <n v="0.25"/>
    <s v="Credit Card"/>
    <s v="Retail"/>
    <s v="South-David"/>
    <n v="22598.66"/>
    <n v="26359.059999999998"/>
    <n v="3760.3999999999978"/>
  </r>
  <r>
    <n v="1020"/>
    <d v="2023-12-10T00:00:00"/>
    <s v="Bob"/>
    <s v="North"/>
    <n v="9671.77"/>
    <n v="45"/>
    <x v="3"/>
    <n v="4268.45"/>
    <n v="4551.5999999999904"/>
    <s v="New"/>
    <n v="0.08"/>
    <s v="Bank Transfer"/>
    <s v="Online"/>
    <s v="North-Bob"/>
    <n v="192080.25"/>
    <n v="204821.99999999956"/>
    <n v="12741.749999999563"/>
  </r>
  <r>
    <n v="1096"/>
    <d v="2023-06-10T00:00:00"/>
    <s v="Charlie"/>
    <s v="South"/>
    <n v="2320.5100000000002"/>
    <n v="6"/>
    <x v="0"/>
    <n v="252.62"/>
    <n v="742"/>
    <s v="New"/>
    <n v="0.22"/>
    <s v="Credit Card"/>
    <s v="Retail"/>
    <s v="South-Charlie"/>
    <n v="1515.72"/>
    <n v="4452"/>
    <n v="2936.2799999999997"/>
  </r>
  <r>
    <n v="1071"/>
    <d v="2023-06-26T00:00:00"/>
    <s v="David"/>
    <s v="North"/>
    <n v="6664.17"/>
    <n v="35"/>
    <x v="2"/>
    <n v="295.82"/>
    <n v="684.67"/>
    <s v="New"/>
    <n v="0.03"/>
    <s v="Credit Card"/>
    <s v="Online"/>
    <s v="North-David"/>
    <n v="10353.699999999999"/>
    <n v="23963.449999999997"/>
    <n v="13609.749999999998"/>
  </r>
  <r>
    <n v="1052"/>
    <d v="2023-10-12T00:00:00"/>
    <s v="David"/>
    <s v="North"/>
    <n v="7444.77"/>
    <n v="46"/>
    <x v="3"/>
    <n v="3136.42"/>
    <n v="3198.49"/>
    <s v="Returning"/>
    <n v="0.28999999999999998"/>
    <s v="Cash"/>
    <s v="Retail"/>
    <s v="North-David"/>
    <n v="144275.32"/>
    <n v="147130.53999999998"/>
    <n v="2855.2199999999721"/>
  </r>
  <r>
    <n v="1033"/>
    <d v="2023-03-04T00:00:00"/>
    <s v="Bob"/>
    <s v="West"/>
    <n v="8499.41"/>
    <n v="14"/>
    <x v="2"/>
    <n v="362.38"/>
    <n v="753.81"/>
    <s v="Returning"/>
    <n v="0.19"/>
    <s v="Cash"/>
    <s v="Retail"/>
    <s v="West-Bob"/>
    <n v="5073.32"/>
    <n v="10553.34"/>
    <n v="5480.02"/>
  </r>
  <r>
    <n v="1040"/>
    <d v="2023-05-30T00:00:00"/>
    <s v="Alice"/>
    <s v="South"/>
    <n v="4284.03"/>
    <n v="47"/>
    <x v="2"/>
    <n v="1656.82"/>
    <n v="1750.3799999999901"/>
    <s v="New"/>
    <n v="0.21"/>
    <s v="Credit Card"/>
    <s v="Online"/>
    <s v="South-Alice"/>
    <n v="77870.539999999994"/>
    <n v="82267.859999999535"/>
    <n v="4397.3199999995413"/>
  </r>
  <r>
    <n v="1039"/>
    <d v="2023-06-03T00:00:00"/>
    <s v="Bob"/>
    <s v="South"/>
    <n v="3099.02"/>
    <n v="8"/>
    <x v="2"/>
    <n v="3380.14"/>
    <n v="3609.3399999999901"/>
    <s v="Returning"/>
    <n v="0.09"/>
    <s v="Credit Card"/>
    <s v="Online"/>
    <s v="South-Bob"/>
    <n v="27041.119999999999"/>
    <n v="28874.719999999921"/>
    <n v="1833.5999999999221"/>
  </r>
  <r>
    <n v="1082"/>
    <d v="2023-06-05T00:00:00"/>
    <s v="Charlie"/>
    <s v="East"/>
    <n v="3320.42"/>
    <n v="15"/>
    <x v="2"/>
    <n v="1719.47"/>
    <n v="1832.6"/>
    <s v="Returning"/>
    <n v="0.12"/>
    <s v="Credit Card"/>
    <s v="Online"/>
    <s v="East-Charlie"/>
    <n v="25792.05"/>
    <n v="27489"/>
    <n v="1696.9500000000007"/>
  </r>
  <r>
    <n v="1001"/>
    <d v="2023-02-18T00:00:00"/>
    <s v="David"/>
    <s v="West"/>
    <n v="7154.95"/>
    <n v="27"/>
    <x v="2"/>
    <n v="939.02"/>
    <n v="1286.92"/>
    <s v="Returning"/>
    <n v="7.0000000000000007E-2"/>
    <s v="Credit Card"/>
    <s v="Retail"/>
    <s v="West-David"/>
    <n v="25353.54"/>
    <n v="34746.840000000004"/>
    <n v="9393.3000000000029"/>
  </r>
  <r>
    <n v="1011"/>
    <d v="2023-12-03T00:00:00"/>
    <s v="Bob"/>
    <s v="East"/>
    <n v="8186.12"/>
    <n v="13"/>
    <x v="3"/>
    <n v="1442.69"/>
    <n v="1882.57"/>
    <s v="Returning"/>
    <n v="0.28000000000000003"/>
    <s v="Cash"/>
    <s v="Online"/>
    <s v="East-Bob"/>
    <n v="18754.97"/>
    <n v="24473.41"/>
    <n v="5718.4399999999987"/>
  </r>
  <r>
    <n v="1092"/>
    <d v="2023-03-25T00:00:00"/>
    <s v="Alice"/>
    <s v="West"/>
    <n v="1897.98"/>
    <n v="49"/>
    <x v="0"/>
    <n v="2315"/>
    <n v="2467.2800000000002"/>
    <s v="New"/>
    <n v="0.15"/>
    <s v="Bank Transfer"/>
    <s v="Retail"/>
    <s v="West-Alice"/>
    <n v="113435"/>
    <n v="120896.72000000002"/>
    <n v="7461.7200000000157"/>
  </r>
  <r>
    <n v="1057"/>
    <d v="2023-12-27T00:00:00"/>
    <s v="Bob"/>
    <s v="South"/>
    <n v="3772.32"/>
    <n v="31"/>
    <x v="0"/>
    <n v="2403.16"/>
    <n v="2453.35"/>
    <s v="Returning"/>
    <n v="0.19"/>
    <s v="Credit Card"/>
    <s v="Online"/>
    <s v="South-Bob"/>
    <n v="74497.959999999992"/>
    <n v="76053.849999999991"/>
    <n v="1555.8899999999994"/>
  </r>
  <r>
    <n v="1089"/>
    <d v="2023-06-26T00:00:00"/>
    <s v="Eve"/>
    <s v="North"/>
    <n v="9029.2099999999991"/>
    <n v="35"/>
    <x v="0"/>
    <n v="3925.85"/>
    <n v="4082.1099999999901"/>
    <s v="New"/>
    <n v="0.22"/>
    <s v="Cash"/>
    <s v="Online"/>
    <s v="North-Eve"/>
    <n v="137404.75"/>
    <n v="142873.84999999966"/>
    <n v="5469.0999999996566"/>
  </r>
  <r>
    <n v="1050"/>
    <d v="2023-05-28T00:00:00"/>
    <s v="Alice"/>
    <s v="North"/>
    <n v="8086.27"/>
    <n v="6"/>
    <x v="0"/>
    <n v="3763.26"/>
    <n v="4102.72"/>
    <s v="New"/>
    <n v="0.11"/>
    <s v="Credit Card"/>
    <s v="Retail"/>
    <s v="North-Alice"/>
    <n v="22579.56"/>
    <n v="24616.32"/>
    <n v="2036.7599999999984"/>
  </r>
  <r>
    <n v="1023"/>
    <d v="2023-04-28T00:00:00"/>
    <s v="Charlie"/>
    <s v="North"/>
    <n v="9850.1"/>
    <n v="5"/>
    <x v="3"/>
    <n v="2311.25"/>
    <n v="2482.34"/>
    <s v="Returning"/>
    <n v="0.22"/>
    <s v="Credit Card"/>
    <s v="Retail"/>
    <s v="North-Charlie"/>
    <n v="11556.25"/>
    <n v="12411.7"/>
    <n v="855.45000000000073"/>
  </r>
  <r>
    <n v="1031"/>
    <d v="2023-12-08T00:00:00"/>
    <s v="David"/>
    <s v="North"/>
    <n v="7567.06"/>
    <n v="22"/>
    <x v="1"/>
    <n v="4236.05"/>
    <n v="4382.32"/>
    <s v="New"/>
    <n v="0.2"/>
    <s v="Bank Transfer"/>
    <s v="Online"/>
    <s v="North-David"/>
    <n v="93193.1"/>
    <n v="96411.04"/>
    <n v="3217.9399999999878"/>
  </r>
  <r>
    <n v="1094"/>
    <d v="2023-03-04T00:00:00"/>
    <s v="Bob"/>
    <s v="North"/>
    <n v="3992.63"/>
    <n v="49"/>
    <x v="1"/>
    <n v="615.47"/>
    <n v="715.84"/>
    <s v="Returning"/>
    <n v="0.21"/>
    <s v="Credit Card"/>
    <s v="Retail"/>
    <s v="North-Bob"/>
    <n v="30158.030000000002"/>
    <n v="35076.160000000003"/>
    <n v="4918.130000000001"/>
  </r>
  <r>
    <n v="1042"/>
    <d v="2023-07-08T00:00:00"/>
    <s v="Alice"/>
    <s v="East"/>
    <n v="5947.31"/>
    <n v="23"/>
    <x v="3"/>
    <n v="1314"/>
    <n v="1567.78"/>
    <s v="Returning"/>
    <n v="0.15"/>
    <s v="Credit Card"/>
    <s v="Retail"/>
    <s v="East-Alice"/>
    <n v="30222"/>
    <n v="36058.94"/>
    <n v="5836.9400000000023"/>
  </r>
  <r>
    <n v="1099"/>
    <d v="2023-12-26T00:00:00"/>
    <s v="Eve"/>
    <s v="West"/>
    <n v="6644.04"/>
    <n v="25"/>
    <x v="3"/>
    <n v="4148.4799999999996"/>
    <n v="4293.6899999999996"/>
    <s v="New"/>
    <n v="0.11"/>
    <s v="Bank Transfer"/>
    <s v="Online"/>
    <s v="West-Eve"/>
    <n v="103711.99999999999"/>
    <n v="107342.24999999999"/>
    <n v="3630.25"/>
  </r>
  <r>
    <n v="1007"/>
    <d v="2023-02-18T00:00:00"/>
    <s v="Alice"/>
    <s v="South"/>
    <n v="876.71"/>
    <n v="34"/>
    <x v="2"/>
    <n v="1921.07"/>
    <n v="2289.27"/>
    <s v="Returning"/>
    <n v="7.0000000000000007E-2"/>
    <s v="Bank Transfer"/>
    <s v="Retail"/>
    <s v="South-Alice"/>
    <n v="65316.38"/>
    <n v="77835.179999999993"/>
    <n v="12518.799999999996"/>
  </r>
  <r>
    <n v="1016"/>
    <d v="2023-11-23T00:00:00"/>
    <s v="Eve"/>
    <s v="East"/>
    <n v="5490.52"/>
    <n v="26"/>
    <x v="2"/>
    <n v="4906.8500000000004"/>
    <n v="4954.3900000000003"/>
    <s v="New"/>
    <n v="0.25"/>
    <s v="Bank Transfer"/>
    <s v="Online"/>
    <s v="East-Eve"/>
    <n v="127578.1"/>
    <n v="128814.14000000001"/>
    <n v="1236.0400000000081"/>
  </r>
  <r>
    <n v="1090"/>
    <d v="2023-09-14T00:00:00"/>
    <s v="Charlie"/>
    <s v="West"/>
    <n v="7122.28"/>
    <n v="47"/>
    <x v="2"/>
    <n v="2357.9499999999998"/>
    <n v="2693.33"/>
    <s v="New"/>
    <n v="0.18"/>
    <s v="Bank Transfer"/>
    <s v="Online"/>
    <s v="West-Charlie"/>
    <n v="110823.65"/>
    <n v="126586.51"/>
    <n v="15762.86"/>
  </r>
  <r>
    <n v="1060"/>
    <d v="2023-08-12T00:00:00"/>
    <s v="David"/>
    <s v="North"/>
    <n v="1756.48"/>
    <n v="5"/>
    <x v="0"/>
    <n v="3970.08"/>
    <n v="4096.4799999999996"/>
    <s v="Returning"/>
    <n v="0.13"/>
    <s v="Cash"/>
    <s v="Retail"/>
    <s v="North-David"/>
    <n v="19850.400000000001"/>
    <n v="20482.399999999998"/>
    <n v="631.99999999999636"/>
  </r>
  <r>
    <n v="1002"/>
    <d v="2023-05-21T00:00:00"/>
    <s v="Charlie"/>
    <s v="West"/>
    <n v="7828.25"/>
    <n v="26"/>
    <x v="2"/>
    <n v="2041.42"/>
    <n v="2291.17"/>
    <s v="Returning"/>
    <n v="0.28000000000000003"/>
    <s v="Cash"/>
    <s v="Online"/>
    <s v="West-Charlie"/>
    <n v="53076.92"/>
    <n v="59570.42"/>
    <n v="6493.5"/>
  </r>
  <r>
    <n v="1001"/>
    <d v="2023-08-03T00:00:00"/>
    <s v="Bob"/>
    <s v="West"/>
    <n v="5879.35"/>
    <n v="20"/>
    <x v="1"/>
    <n v="2153.52"/>
    <n v="2303.6999999999998"/>
    <s v="Returning"/>
    <n v="0.01"/>
    <s v="Cash"/>
    <s v="Retail"/>
    <s v="West-Bob"/>
    <n v="43070.400000000001"/>
    <n v="46074"/>
    <n v="3003.5999999999985"/>
  </r>
  <r>
    <n v="1048"/>
    <d v="2023-07-30T00:00:00"/>
    <s v="Alice"/>
    <s v="North"/>
    <n v="9527"/>
    <n v="6"/>
    <x v="0"/>
    <n v="1945.27"/>
    <n v="2309.4299999999998"/>
    <s v="New"/>
    <n v="0.26"/>
    <s v="Credit Card"/>
    <s v="Online"/>
    <s v="North-Alice"/>
    <n v="11671.619999999999"/>
    <n v="13856.579999999998"/>
    <n v="2184.9599999999991"/>
  </r>
  <r>
    <n v="1012"/>
    <d v="2023-11-14T00:00:00"/>
    <s v="Eve"/>
    <s v="North"/>
    <n v="519.98"/>
    <n v="6"/>
    <x v="2"/>
    <n v="3609.42"/>
    <n v="4082.62"/>
    <s v="Returning"/>
    <n v="0.3"/>
    <s v="Bank Transfer"/>
    <s v="Retail"/>
    <s v="North-Eve"/>
    <n v="21656.52"/>
    <n v="24495.72"/>
    <n v="2839.2000000000007"/>
  </r>
  <r>
    <n v="1069"/>
    <d v="2023-02-01T00:00:00"/>
    <s v="Eve"/>
    <s v="North"/>
    <n v="2726.73"/>
    <n v="18"/>
    <x v="0"/>
    <n v="2760.21"/>
    <n v="3219.58"/>
    <s v="New"/>
    <n v="0.27"/>
    <s v="Bank Transfer"/>
    <s v="Retail"/>
    <s v="North-Eve"/>
    <n v="49683.78"/>
    <n v="57952.44"/>
    <n v="8268.6600000000035"/>
  </r>
  <r>
    <n v="1037"/>
    <d v="2023-06-07T00:00:00"/>
    <s v="Alice"/>
    <s v="South"/>
    <n v="6055.38"/>
    <n v="4"/>
    <x v="1"/>
    <n v="4721.7"/>
    <n v="5017.58"/>
    <s v="New"/>
    <n v="0.24"/>
    <s v="Cash"/>
    <s v="Retail"/>
    <s v="South-Alice"/>
    <n v="18886.8"/>
    <n v="20070.32"/>
    <n v="1183.5200000000004"/>
  </r>
  <r>
    <n v="1032"/>
    <d v="2023-10-12T00:00:00"/>
    <s v="Alice"/>
    <s v="North"/>
    <n v="3035.94"/>
    <n v="17"/>
    <x v="2"/>
    <n v="1291.9100000000001"/>
    <n v="1528.59"/>
    <s v="Returning"/>
    <n v="0.11"/>
    <s v="Credit Card"/>
    <s v="Retail"/>
    <s v="North-Alice"/>
    <n v="21962.47"/>
    <n v="25986.03"/>
    <n v="4023.5599999999977"/>
  </r>
  <r>
    <n v="1009"/>
    <d v="2023-11-01T00:00:00"/>
    <s v="Bob"/>
    <s v="South"/>
    <n v="7172.8"/>
    <n v="14"/>
    <x v="1"/>
    <n v="547.79"/>
    <n v="958.76"/>
    <s v="Returning"/>
    <n v="7.0000000000000007E-2"/>
    <s v="Credit Card"/>
    <s v="Retail"/>
    <s v="South-Bob"/>
    <n v="7669.0599999999995"/>
    <n v="13422.64"/>
    <n v="5753.58"/>
  </r>
  <r>
    <n v="1099"/>
    <d v="2023-10-13T00:00:00"/>
    <s v="Charlie"/>
    <s v="North"/>
    <n v="7614.15"/>
    <n v="14"/>
    <x v="1"/>
    <n v="1996.64"/>
    <n v="2341.4699999999998"/>
    <s v="Returning"/>
    <n v="0.22"/>
    <s v="Credit Card"/>
    <s v="Online"/>
    <s v="North-Charlie"/>
    <n v="27952.960000000003"/>
    <n v="32780.579999999994"/>
    <n v="4827.6199999999917"/>
  </r>
  <r>
    <n v="1019"/>
    <d v="2023-05-24T00:00:00"/>
    <s v="Eve"/>
    <s v="South"/>
    <n v="1114.9100000000001"/>
    <n v="13"/>
    <x v="1"/>
    <n v="3102.73"/>
    <n v="3202.68"/>
    <s v="New"/>
    <n v="0.09"/>
    <s v="Cash"/>
    <s v="Online"/>
    <s v="South-Eve"/>
    <n v="40335.49"/>
    <n v="41634.839999999997"/>
    <n v="1299.3499999999985"/>
  </r>
  <r>
    <n v="1048"/>
    <d v="2023-01-19T00:00:00"/>
    <s v="Bob"/>
    <s v="West"/>
    <n v="5187.16"/>
    <n v="7"/>
    <x v="2"/>
    <n v="4310.95"/>
    <n v="4723.2"/>
    <s v="Returning"/>
    <n v="0.05"/>
    <s v="Credit Card"/>
    <s v="Retail"/>
    <s v="West-Bob"/>
    <n v="30176.649999999998"/>
    <n v="33062.400000000001"/>
    <n v="2885.7500000000036"/>
  </r>
  <r>
    <n v="1080"/>
    <d v="2023-01-18T00:00:00"/>
    <s v="Charlie"/>
    <s v="East"/>
    <n v="5138.0200000000004"/>
    <n v="44"/>
    <x v="3"/>
    <n v="1763.67"/>
    <n v="1983.82"/>
    <s v="New"/>
    <n v="0.24"/>
    <s v="Credit Card"/>
    <s v="Online"/>
    <s v="East-Charlie"/>
    <n v="77601.48000000001"/>
    <n v="87288.08"/>
    <n v="9686.5999999999913"/>
  </r>
  <r>
    <n v="1003"/>
    <d v="2023-09-14T00:00:00"/>
    <s v="Bob"/>
    <s v="West"/>
    <n v="3755.88"/>
    <n v="15"/>
    <x v="2"/>
    <n v="3286.24"/>
    <n v="3388.8399999999901"/>
    <s v="Returning"/>
    <n v="0.09"/>
    <s v="Credit Card"/>
    <s v="Retail"/>
    <s v="West-Bob"/>
    <n v="49293.599999999999"/>
    <n v="50832.599999999853"/>
    <n v="1538.9999999998545"/>
  </r>
  <r>
    <n v="1020"/>
    <d v="2023-03-19T00:00:00"/>
    <s v="Eve"/>
    <s v="West"/>
    <n v="9335.9599999999991"/>
    <n v="19"/>
    <x v="1"/>
    <n v="1783.48"/>
    <n v="1931.56"/>
    <s v="Returning"/>
    <n v="0.27"/>
    <s v="Bank Transfer"/>
    <s v="Retail"/>
    <s v="West-Eve"/>
    <n v="33886.120000000003"/>
    <n v="36699.64"/>
    <n v="2813.5199999999968"/>
  </r>
  <r>
    <n v="1024"/>
    <d v="2023-06-24T00:00:00"/>
    <s v="Alice"/>
    <s v="North"/>
    <n v="8292.31"/>
    <n v="43"/>
    <x v="2"/>
    <n v="3105.24"/>
    <n v="3246.33"/>
    <s v="New"/>
    <n v="0.25"/>
    <s v="Cash"/>
    <s v="Online"/>
    <s v="North-Alice"/>
    <n v="133525.31999999998"/>
    <n v="139592.19"/>
    <n v="6066.8700000000244"/>
  </r>
  <r>
    <n v="1054"/>
    <d v="2023-07-13T00:00:00"/>
    <s v="Alice"/>
    <s v="South"/>
    <n v="7002.37"/>
    <n v="47"/>
    <x v="1"/>
    <n v="4429.8"/>
    <n v="4694.21"/>
    <s v="New"/>
    <n v="0.25"/>
    <s v="Bank Transfer"/>
    <s v="Online"/>
    <s v="South-Alice"/>
    <n v="208200.6"/>
    <n v="220627.87"/>
    <n v="12427.26999999999"/>
  </r>
  <r>
    <n v="1033"/>
    <d v="2023-04-23T00:00:00"/>
    <s v="Charlie"/>
    <s v="East"/>
    <n v="7171.83"/>
    <n v="44"/>
    <x v="3"/>
    <n v="1195.22"/>
    <n v="1320.06"/>
    <s v="Returning"/>
    <n v="0.23"/>
    <s v="Bank Transfer"/>
    <s v="Retail"/>
    <s v="East-Charlie"/>
    <n v="52589.68"/>
    <n v="58082.64"/>
    <n v="5492.9599999999991"/>
  </r>
  <r>
    <n v="1024"/>
    <d v="2023-04-24T00:00:00"/>
    <s v="David"/>
    <s v="North"/>
    <n v="4670.99"/>
    <n v="35"/>
    <x v="0"/>
    <n v="2051"/>
    <n v="2121.5500000000002"/>
    <s v="Returning"/>
    <n v="0.26"/>
    <s v="Cash"/>
    <s v="Retail"/>
    <s v="North-David"/>
    <n v="71785"/>
    <n v="74254.25"/>
    <n v="2469.25"/>
  </r>
  <r>
    <n v="1075"/>
    <d v="2023-08-10T00:00:00"/>
    <s v="Charlie"/>
    <s v="North"/>
    <n v="9217.85"/>
    <n v="17"/>
    <x v="3"/>
    <n v="4966.66"/>
    <n v="5037.2699999999904"/>
    <s v="Returning"/>
    <n v="0.24"/>
    <s v="Bank Transfer"/>
    <s v="Retail"/>
    <s v="North-Charlie"/>
    <n v="84433.22"/>
    <n v="85633.589999999836"/>
    <n v="1200.3699999998353"/>
  </r>
  <r>
    <n v="1072"/>
    <d v="2023-06-15T00:00:00"/>
    <s v="David"/>
    <s v="North"/>
    <n v="6976.49"/>
    <n v="35"/>
    <x v="3"/>
    <n v="4349.3599999999997"/>
    <n v="4645.17"/>
    <s v="Returning"/>
    <n v="0.18"/>
    <s v="Credit Card"/>
    <s v="Retail"/>
    <s v="North-David"/>
    <n v="152227.59999999998"/>
    <n v="162580.95000000001"/>
    <n v="10353.350000000035"/>
  </r>
  <r>
    <n v="1036"/>
    <d v="2023-11-15T00:00:00"/>
    <s v="Bob"/>
    <s v="West"/>
    <n v="7316.91"/>
    <n v="19"/>
    <x v="0"/>
    <n v="2844.97"/>
    <n v="3215"/>
    <s v="Returning"/>
    <n v="0.09"/>
    <s v="Credit Card"/>
    <s v="Retail"/>
    <s v="West-Bob"/>
    <n v="54054.429999999993"/>
    <n v="61085"/>
    <n v="7030.570000000007"/>
  </r>
  <r>
    <n v="1038"/>
    <d v="2023-05-12T00:00:00"/>
    <s v="Bob"/>
    <s v="South"/>
    <n v="8630.74"/>
    <n v="20"/>
    <x v="2"/>
    <n v="2607.31"/>
    <n v="2774.86"/>
    <s v="New"/>
    <n v="0.27"/>
    <s v="Credit Card"/>
    <s v="Retail"/>
    <s v="South-Bob"/>
    <n v="52146.2"/>
    <n v="55497.200000000004"/>
    <n v="3351.0000000000073"/>
  </r>
  <r>
    <n v="1084"/>
    <d v="2023-09-21T00:00:00"/>
    <s v="Eve"/>
    <s v="South"/>
    <n v="2813.31"/>
    <n v="36"/>
    <x v="0"/>
    <n v="1458.77"/>
    <n v="1485.75"/>
    <s v="New"/>
    <n v="0.25"/>
    <s v="Credit Card"/>
    <s v="Online"/>
    <s v="South-Eve"/>
    <n v="52515.72"/>
    <n v="53487"/>
    <n v="971.27999999999884"/>
  </r>
  <r>
    <n v="1099"/>
    <d v="2023-02-24T00:00:00"/>
    <s v="David"/>
    <s v="East"/>
    <n v="8090"/>
    <n v="35"/>
    <x v="2"/>
    <n v="2610.19"/>
    <n v="2682.53"/>
    <s v="New"/>
    <n v="0.14000000000000001"/>
    <s v="Cash"/>
    <s v="Retail"/>
    <s v="East-David"/>
    <n v="91356.650000000009"/>
    <n v="93888.55"/>
    <n v="2531.8999999999942"/>
  </r>
  <r>
    <n v="1089"/>
    <d v="2023-12-25T00:00:00"/>
    <s v="Eve"/>
    <s v="South"/>
    <n v="2032.88"/>
    <n v="32"/>
    <x v="2"/>
    <n v="4248.5"/>
    <n v="4706.7"/>
    <s v="New"/>
    <n v="0.01"/>
    <s v="Bank Transfer"/>
    <s v="Retail"/>
    <s v="South-Eve"/>
    <n v="135952"/>
    <n v="150614.39999999999"/>
    <n v="14662.399999999994"/>
  </r>
  <r>
    <n v="1099"/>
    <d v="2023-05-11T00:00:00"/>
    <s v="Alice"/>
    <s v="South"/>
    <n v="3518.89"/>
    <n v="48"/>
    <x v="1"/>
    <n v="3441.61"/>
    <n v="3693.45"/>
    <s v="Returning"/>
    <n v="0.19"/>
    <s v="Bank Transfer"/>
    <s v="Online"/>
    <s v="South-Alice"/>
    <n v="165197.28"/>
    <n v="177285.59999999998"/>
    <n v="12088.319999999978"/>
  </r>
  <r>
    <n v="1025"/>
    <d v="2023-10-15T00:00:00"/>
    <s v="David"/>
    <s v="North"/>
    <n v="3422.54"/>
    <n v="44"/>
    <x v="1"/>
    <n v="1485.72"/>
    <n v="1717.97"/>
    <s v="New"/>
    <n v="0.02"/>
    <s v="Credit Card"/>
    <s v="Retail"/>
    <s v="North-David"/>
    <n v="65371.68"/>
    <n v="75590.680000000008"/>
    <n v="10219.000000000007"/>
  </r>
  <r>
    <n v="1093"/>
    <d v="2023-09-23T00:00:00"/>
    <s v="Charlie"/>
    <s v="North"/>
    <n v="9787.4"/>
    <n v="40"/>
    <x v="0"/>
    <n v="1047.25"/>
    <n v="1075.8900000000001"/>
    <s v="New"/>
    <n v="0.28000000000000003"/>
    <s v="Credit Card"/>
    <s v="Retail"/>
    <s v="North-Charlie"/>
    <n v="41890"/>
    <n v="43035.600000000006"/>
    <n v="1145.6000000000058"/>
  </r>
  <r>
    <n v="1018"/>
    <d v="2024-01-01T00:00:00"/>
    <s v="Alice"/>
    <s v="West"/>
    <n v="8579.7199999999993"/>
    <n v="24"/>
    <x v="3"/>
    <n v="1362.78"/>
    <n v="1729.81"/>
    <s v="New"/>
    <n v="0.28999999999999998"/>
    <s v="Bank Transfer"/>
    <s v="Online"/>
    <s v="West-Alice"/>
    <n v="32706.720000000001"/>
    <n v="41515.440000000002"/>
    <n v="8808.7200000000012"/>
  </r>
  <r>
    <n v="1082"/>
    <d v="2023-06-11T00:00:00"/>
    <s v="Alice"/>
    <s v="North"/>
    <n v="7041.58"/>
    <n v="17"/>
    <x v="0"/>
    <n v="890.31"/>
    <n v="1159.06"/>
    <s v="Returning"/>
    <n v="0.06"/>
    <s v="Cash"/>
    <s v="Retail"/>
    <s v="North-Alice"/>
    <n v="15135.269999999999"/>
    <n v="19704.02"/>
    <n v="4568.7500000000018"/>
  </r>
  <r>
    <n v="1066"/>
    <d v="2023-03-28T00:00:00"/>
    <s v="Charlie"/>
    <s v="North"/>
    <n v="7297.86"/>
    <n v="7"/>
    <x v="2"/>
    <n v="523.41999999999996"/>
    <n v="632.43999999999903"/>
    <s v="New"/>
    <n v="0.2"/>
    <s v="Bank Transfer"/>
    <s v="Online"/>
    <s v="North-Charlie"/>
    <n v="3663.9399999999996"/>
    <n v="4427.0799999999936"/>
    <n v="763.13999999999396"/>
  </r>
  <r>
    <n v="1054"/>
    <d v="2023-02-24T00:00:00"/>
    <s v="Alice"/>
    <s v="North"/>
    <n v="5664.52"/>
    <n v="43"/>
    <x v="1"/>
    <n v="2124.7199999999998"/>
    <n v="2188.66"/>
    <s v="Returning"/>
    <n v="0.03"/>
    <s v="Credit Card"/>
    <s v="Retail"/>
    <s v="North-Alice"/>
    <n v="91362.959999999992"/>
    <n v="94112.37999999999"/>
    <n v="2749.4199999999983"/>
  </r>
  <r>
    <n v="1035"/>
    <d v="2023-10-15T00:00:00"/>
    <s v="David"/>
    <s v="North"/>
    <n v="9476.2000000000007"/>
    <n v="1"/>
    <x v="0"/>
    <n v="610.83000000000004"/>
    <n v="808.69"/>
    <s v="New"/>
    <n v="0.22"/>
    <s v="Credit Card"/>
    <s v="Online"/>
    <s v="North-David"/>
    <n v="610.83000000000004"/>
    <n v="808.69"/>
    <n v="197.86"/>
  </r>
  <r>
    <n v="1080"/>
    <d v="2023-06-27T00:00:00"/>
    <s v="Eve"/>
    <s v="West"/>
    <n v="5012.96"/>
    <n v="35"/>
    <x v="0"/>
    <n v="900.97"/>
    <n v="1321.18"/>
    <s v="Returning"/>
    <n v="0.1"/>
    <s v="Cash"/>
    <s v="Online"/>
    <s v="West-Eve"/>
    <n v="31533.95"/>
    <n v="46241.3"/>
    <n v="14707.350000000002"/>
  </r>
  <r>
    <n v="1061"/>
    <d v="2023-12-15T00:00:00"/>
    <s v="Alice"/>
    <s v="North"/>
    <n v="3867.13"/>
    <n v="32"/>
    <x v="1"/>
    <n v="2759.26"/>
    <n v="3193.25"/>
    <s v="New"/>
    <n v="0.2"/>
    <s v="Bank Transfer"/>
    <s v="Online"/>
    <s v="North-Alice"/>
    <n v="88296.320000000007"/>
    <n v="102184"/>
    <n v="13887.679999999993"/>
  </r>
  <r>
    <n v="1041"/>
    <d v="2023-01-08T00:00:00"/>
    <s v="David"/>
    <s v="East"/>
    <n v="1714.05"/>
    <n v="36"/>
    <x v="1"/>
    <n v="864.77"/>
    <n v="1170.1599999999901"/>
    <s v="Returning"/>
    <n v="0.11"/>
    <s v="Cash"/>
    <s v="Retail"/>
    <s v="East-David"/>
    <n v="31131.72"/>
    <n v="42125.759999999646"/>
    <n v="10994.039999999644"/>
  </r>
  <r>
    <n v="1100"/>
    <d v="2023-11-17T00:00:00"/>
    <s v="Bob"/>
    <s v="East"/>
    <n v="7883.44"/>
    <n v="13"/>
    <x v="1"/>
    <n v="366.2"/>
    <n v="732.69"/>
    <s v="New"/>
    <n v="0.04"/>
    <s v="Cash"/>
    <s v="Retail"/>
    <s v="East-Bob"/>
    <n v="4760.5999999999995"/>
    <n v="9524.9700000000012"/>
    <n v="4764.3700000000017"/>
  </r>
  <r>
    <n v="1033"/>
    <d v="2023-11-09T00:00:00"/>
    <s v="David"/>
    <s v="East"/>
    <n v="7370.99"/>
    <n v="6"/>
    <x v="2"/>
    <n v="1621.07"/>
    <n v="1687.5"/>
    <s v="Returning"/>
    <n v="0.12"/>
    <s v="Credit Card"/>
    <s v="Online"/>
    <s v="East-David"/>
    <n v="9726.42"/>
    <n v="10125"/>
    <n v="398.57999999999993"/>
  </r>
  <r>
    <n v="1068"/>
    <d v="2023-09-04T00:00:00"/>
    <s v="Eve"/>
    <s v="East"/>
    <n v="3905.11"/>
    <n v="14"/>
    <x v="1"/>
    <n v="1140.58"/>
    <n v="1438.76"/>
    <s v="Returning"/>
    <n v="0.03"/>
    <s v="Bank Transfer"/>
    <s v="Online"/>
    <s v="East-Eve"/>
    <n v="15968.119999999999"/>
    <n v="20142.64"/>
    <n v="4174.5200000000004"/>
  </r>
  <r>
    <n v="1033"/>
    <d v="2023-11-19T00:00:00"/>
    <s v="David"/>
    <s v="North"/>
    <n v="349.41"/>
    <n v="37"/>
    <x v="3"/>
    <n v="2600.7600000000002"/>
    <n v="2937.57"/>
    <s v="New"/>
    <n v="0.17"/>
    <s v="Credit Card"/>
    <s v="Retail"/>
    <s v="North-David"/>
    <n v="96228.12000000001"/>
    <n v="108690.09000000001"/>
    <n v="12461.970000000001"/>
  </r>
  <r>
    <n v="1014"/>
    <d v="2023-09-12T00:00:00"/>
    <s v="Charlie"/>
    <s v="East"/>
    <n v="8406.07"/>
    <n v="48"/>
    <x v="0"/>
    <n v="556.72"/>
    <n v="665.07"/>
    <s v="Returning"/>
    <n v="0.01"/>
    <s v="Bank Transfer"/>
    <s v="Retail"/>
    <s v="East-Charlie"/>
    <n v="26722.560000000001"/>
    <n v="31923.360000000001"/>
    <n v="5200.7999999999993"/>
  </r>
  <r>
    <n v="1021"/>
    <d v="2023-11-24T00:00:00"/>
    <s v="Eve"/>
    <s v="North"/>
    <n v="213.04"/>
    <n v="15"/>
    <x v="1"/>
    <n v="3771.27"/>
    <n v="4212.55"/>
    <s v="Returning"/>
    <n v="0.16"/>
    <s v="Credit Card"/>
    <s v="Retail"/>
    <s v="North-Eve"/>
    <n v="56569.05"/>
    <n v="63188.25"/>
    <n v="6619.1999999999971"/>
  </r>
  <r>
    <n v="1048"/>
    <d v="2023-02-23T00:00:00"/>
    <s v="Bob"/>
    <s v="West"/>
    <n v="7066.63"/>
    <n v="47"/>
    <x v="1"/>
    <n v="4535.8599999999997"/>
    <n v="4641.41"/>
    <s v="New"/>
    <n v="0.27"/>
    <s v="Credit Card"/>
    <s v="Retail"/>
    <s v="West-Bob"/>
    <n v="213185.41999999998"/>
    <n v="218146.27"/>
    <n v="4960.8500000000058"/>
  </r>
  <r>
    <n v="1020"/>
    <d v="2023-09-06T00:00:00"/>
    <s v="Charlie"/>
    <s v="East"/>
    <n v="9705.5499999999993"/>
    <n v="4"/>
    <x v="2"/>
    <n v="3730"/>
    <n v="3893.6"/>
    <s v="New"/>
    <n v="0.25"/>
    <s v="Bank Transfer"/>
    <s v="Retail"/>
    <s v="East-Charlie"/>
    <n v="14920"/>
    <n v="15574.4"/>
    <n v="654.39999999999964"/>
  </r>
  <r>
    <n v="1008"/>
    <d v="2023-08-27T00:00:00"/>
    <s v="David"/>
    <s v="South"/>
    <n v="4432.8500000000004"/>
    <n v="40"/>
    <x v="2"/>
    <n v="2687.49"/>
    <n v="3001.56"/>
    <s v="Returning"/>
    <n v="0.26"/>
    <s v="Bank Transfer"/>
    <s v="Online"/>
    <s v="South-David"/>
    <n v="107499.59999999999"/>
    <n v="120062.39999999999"/>
    <n v="12562.800000000003"/>
  </r>
  <r>
    <n v="1007"/>
    <d v="2023-08-17T00:00:00"/>
    <s v="Eve"/>
    <s v="East"/>
    <n v="2426.2399999999998"/>
    <n v="16"/>
    <x v="0"/>
    <n v="4310.3100000000004"/>
    <n v="4633.1000000000004"/>
    <s v="New"/>
    <n v="0.28000000000000003"/>
    <s v="Credit Card"/>
    <s v="Retail"/>
    <s v="East-Eve"/>
    <n v="68964.960000000006"/>
    <n v="74129.600000000006"/>
    <n v="5164.6399999999994"/>
  </r>
  <r>
    <n v="1067"/>
    <d v="2023-03-08T00:00:00"/>
    <s v="Bob"/>
    <s v="East"/>
    <n v="7078.22"/>
    <n v="28"/>
    <x v="3"/>
    <n v="3489.85"/>
    <n v="3842.5499999999902"/>
    <s v="New"/>
    <n v="0.03"/>
    <s v="Bank Transfer"/>
    <s v="Online"/>
    <s v="East-Bob"/>
    <n v="97715.8"/>
    <n v="107591.39999999973"/>
    <n v="9875.5999999997293"/>
  </r>
  <r>
    <n v="1017"/>
    <d v="2023-02-20T00:00:00"/>
    <s v="Charlie"/>
    <s v="North"/>
    <n v="8189.57"/>
    <n v="16"/>
    <x v="0"/>
    <n v="102.23"/>
    <n v="167.12"/>
    <s v="New"/>
    <n v="0.04"/>
    <s v="Credit Card"/>
    <s v="Retail"/>
    <s v="North-Charlie"/>
    <n v="1635.68"/>
    <n v="2673.92"/>
    <n v="1038.24"/>
  </r>
  <r>
    <n v="1033"/>
    <d v="2023-04-07T00:00:00"/>
    <s v="Bob"/>
    <s v="East"/>
    <n v="5509.66"/>
    <n v="4"/>
    <x v="1"/>
    <n v="2000.75"/>
    <n v="2426.9899999999998"/>
    <s v="Returning"/>
    <n v="0.17"/>
    <s v="Bank Transfer"/>
    <s v="Online"/>
    <s v="East-Bob"/>
    <n v="8003"/>
    <n v="9707.9599999999991"/>
    <n v="1704.9599999999991"/>
  </r>
  <r>
    <n v="1048"/>
    <d v="2023-04-02T00:00:00"/>
    <s v="David"/>
    <s v="South"/>
    <n v="9673.65"/>
    <n v="45"/>
    <x v="3"/>
    <n v="4262.21"/>
    <n v="4533.3100000000004"/>
    <s v="Returning"/>
    <n v="0.27"/>
    <s v="Credit Card"/>
    <s v="Online"/>
    <s v="South-David"/>
    <n v="191799.45"/>
    <n v="203998.95"/>
    <n v="12199.5"/>
  </r>
  <r>
    <n v="1076"/>
    <d v="2023-09-21T00:00:00"/>
    <s v="Bob"/>
    <s v="North"/>
    <n v="611.52"/>
    <n v="26"/>
    <x v="3"/>
    <n v="1762"/>
    <n v="2002.95"/>
    <s v="Returning"/>
    <n v="0.28999999999999998"/>
    <s v="Credit Card"/>
    <s v="Retail"/>
    <s v="North-Bob"/>
    <n v="45812"/>
    <n v="52076.700000000004"/>
    <n v="6264.7000000000044"/>
  </r>
  <r>
    <n v="1059"/>
    <d v="2023-10-18T00:00:00"/>
    <s v="Alice"/>
    <s v="North"/>
    <n v="5097.4799999999996"/>
    <n v="28"/>
    <x v="3"/>
    <n v="224.32"/>
    <n v="715.06"/>
    <s v="Returning"/>
    <n v="0.01"/>
    <s v="Credit Card"/>
    <s v="Online"/>
    <s v="North-Alice"/>
    <n v="6280.96"/>
    <n v="20021.68"/>
    <n v="13740.720000000001"/>
  </r>
  <r>
    <n v="1086"/>
    <d v="2023-04-06T00:00:00"/>
    <s v="Charlie"/>
    <s v="West"/>
    <n v="7212.69"/>
    <n v="32"/>
    <x v="3"/>
    <n v="3743.59"/>
    <n v="4116.38"/>
    <s v="Returning"/>
    <n v="0.11"/>
    <s v="Cash"/>
    <s v="Online"/>
    <s v="West-Charlie"/>
    <n v="119794.88"/>
    <n v="131724.16"/>
    <n v="11929.279999999999"/>
  </r>
  <r>
    <n v="1022"/>
    <d v="2023-03-29T00:00:00"/>
    <s v="Bob"/>
    <s v="West"/>
    <n v="8640.14"/>
    <n v="45"/>
    <x v="0"/>
    <n v="4020.09"/>
    <n v="4087.91"/>
    <s v="Returning"/>
    <n v="0.06"/>
    <s v="Bank Transfer"/>
    <s v="Online"/>
    <s v="West-Bob"/>
    <n v="180904.05000000002"/>
    <n v="183955.94999999998"/>
    <n v="3051.8999999999651"/>
  </r>
  <r>
    <n v="1030"/>
    <d v="2023-03-19T00:00:00"/>
    <s v="David"/>
    <s v="East"/>
    <n v="1874.63"/>
    <n v="2"/>
    <x v="2"/>
    <n v="844.94"/>
    <n v="1225.6400000000001"/>
    <s v="Returning"/>
    <n v="0.23"/>
    <s v="Credit Card"/>
    <s v="Online"/>
    <s v="East-David"/>
    <n v="1689.88"/>
    <n v="2451.2800000000002"/>
    <n v="761.40000000000009"/>
  </r>
  <r>
    <n v="1038"/>
    <d v="2023-10-15T00:00:00"/>
    <s v="David"/>
    <s v="West"/>
    <n v="8020.03"/>
    <n v="31"/>
    <x v="2"/>
    <n v="2709.84"/>
    <n v="2766.51"/>
    <s v="New"/>
    <n v="0.19"/>
    <s v="Cash"/>
    <s v="Retail"/>
    <s v="West-David"/>
    <n v="84005.040000000008"/>
    <n v="85761.810000000012"/>
    <n v="1756.7700000000041"/>
  </r>
  <r>
    <n v="1051"/>
    <d v="2023-04-30T00:00:00"/>
    <s v="Bob"/>
    <s v="West"/>
    <n v="5571.8"/>
    <n v="3"/>
    <x v="1"/>
    <n v="1000.18"/>
    <n v="1023.64"/>
    <s v="Returning"/>
    <n v="0.04"/>
    <s v="Credit Card"/>
    <s v="Online"/>
    <s v="West-Bob"/>
    <n v="3000.54"/>
    <n v="3070.92"/>
    <n v="70.380000000000109"/>
  </r>
  <r>
    <n v="1054"/>
    <d v="2023-10-29T00:00:00"/>
    <s v="David"/>
    <s v="West"/>
    <n v="4025.88"/>
    <n v="8"/>
    <x v="2"/>
    <n v="3610.21"/>
    <n v="3817.99"/>
    <s v="Returning"/>
    <n v="0.15"/>
    <s v="Cash"/>
    <s v="Retail"/>
    <s v="West-David"/>
    <n v="28881.68"/>
    <n v="30543.919999999998"/>
    <n v="1662.239999999998"/>
  </r>
  <r>
    <n v="1008"/>
    <d v="2023-06-14T00:00:00"/>
    <s v="Eve"/>
    <s v="North"/>
    <n v="1403.98"/>
    <n v="24"/>
    <x v="2"/>
    <n v="1394.17"/>
    <n v="1891.02"/>
    <s v="New"/>
    <n v="0.21"/>
    <s v="Credit Card"/>
    <s v="Online"/>
    <s v="North-Eve"/>
    <n v="33460.080000000002"/>
    <n v="45384.479999999996"/>
    <n v="11924.399999999994"/>
  </r>
  <r>
    <n v="1027"/>
    <d v="2023-07-01T00:00:00"/>
    <s v="Eve"/>
    <s v="North"/>
    <n v="8666.43"/>
    <n v="15"/>
    <x v="2"/>
    <n v="1615.26"/>
    <n v="1710.95"/>
    <s v="New"/>
    <n v="0.23"/>
    <s v="Credit Card"/>
    <s v="Retail"/>
    <s v="North-Eve"/>
    <n v="24228.9"/>
    <n v="25664.25"/>
    <n v="1435.3499999999985"/>
  </r>
  <r>
    <n v="1027"/>
    <d v="2023-08-11T00:00:00"/>
    <s v="Eve"/>
    <s v="North"/>
    <n v="1657"/>
    <n v="43"/>
    <x v="2"/>
    <n v="4232.6099999999997"/>
    <n v="4572.21"/>
    <s v="New"/>
    <n v="0.01"/>
    <s v="Cash"/>
    <s v="Retail"/>
    <s v="North-Eve"/>
    <n v="182002.22999999998"/>
    <n v="196605.03"/>
    <n v="14602.800000000017"/>
  </r>
  <r>
    <n v="1098"/>
    <d v="2023-11-07T00:00:00"/>
    <s v="Alice"/>
    <s v="West"/>
    <n v="3166.9"/>
    <n v="31"/>
    <x v="1"/>
    <n v="2407.8000000000002"/>
    <n v="2502.7600000000002"/>
    <s v="Returning"/>
    <n v="0.27"/>
    <s v="Cash"/>
    <s v="Retail"/>
    <s v="West-Alice"/>
    <n v="74641.8"/>
    <n v="77585.560000000012"/>
    <n v="2943.7600000000093"/>
  </r>
  <r>
    <n v="1021"/>
    <d v="2023-01-07T00:00:00"/>
    <s v="Bob"/>
    <s v="North"/>
    <n v="2971.45"/>
    <n v="9"/>
    <x v="0"/>
    <n v="3365.28"/>
    <n v="3730.43"/>
    <s v="New"/>
    <n v="0.17"/>
    <s v="Bank Transfer"/>
    <s v="Online"/>
    <s v="North-Bob"/>
    <n v="30287.52"/>
    <n v="33573.869999999995"/>
    <n v="3286.3499999999949"/>
  </r>
  <r>
    <n v="1030"/>
    <d v="2023-11-26T00:00:00"/>
    <s v="Alice"/>
    <s v="West"/>
    <n v="8727"/>
    <n v="39"/>
    <x v="3"/>
    <n v="2041.75"/>
    <n v="2299.37"/>
    <s v="Returning"/>
    <n v="0.24"/>
    <s v="Bank Transfer"/>
    <s v="Retail"/>
    <s v="West-Alice"/>
    <n v="79628.25"/>
    <n v="89675.43"/>
    <n v="10047.179999999993"/>
  </r>
  <r>
    <n v="1097"/>
    <d v="2023-09-20T00:00:00"/>
    <s v="David"/>
    <s v="North"/>
    <n v="6759.76"/>
    <n v="45"/>
    <x v="2"/>
    <n v="1525.13"/>
    <n v="1868.32"/>
    <s v="Returning"/>
    <n v="0.24"/>
    <s v="Cash"/>
    <s v="Retail"/>
    <s v="North-David"/>
    <n v="68630.850000000006"/>
    <n v="84074.4"/>
    <n v="15443.549999999988"/>
  </r>
  <r>
    <n v="1028"/>
    <d v="2023-06-10T00:00:00"/>
    <s v="Alice"/>
    <s v="North"/>
    <n v="7987.15"/>
    <n v="2"/>
    <x v="0"/>
    <n v="3146.12"/>
    <n v="3255.5299999999902"/>
    <s v="Returning"/>
    <n v="0.06"/>
    <s v="Bank Transfer"/>
    <s v="Online"/>
    <s v="North-Alice"/>
    <n v="6292.24"/>
    <n v="6511.0599999999804"/>
    <n v="218.81999999998061"/>
  </r>
  <r>
    <n v="1064"/>
    <d v="2023-05-31T00:00:00"/>
    <s v="David"/>
    <s v="South"/>
    <n v="2579.63"/>
    <n v="8"/>
    <x v="2"/>
    <n v="816.54"/>
    <n v="1191.9000000000001"/>
    <s v="New"/>
    <n v="0.03"/>
    <s v="Cash"/>
    <s v="Retail"/>
    <s v="South-David"/>
    <n v="6532.32"/>
    <n v="9535.2000000000007"/>
    <n v="3002.880000000001"/>
  </r>
  <r>
    <n v="1097"/>
    <d v="2023-03-26T00:00:00"/>
    <s v="David"/>
    <s v="East"/>
    <n v="6286.25"/>
    <n v="7"/>
    <x v="2"/>
    <n v="1896.35"/>
    <n v="2394.1999999999998"/>
    <s v="New"/>
    <n v="0.22"/>
    <s v="Bank Transfer"/>
    <s v="Online"/>
    <s v="East-David"/>
    <n v="13274.449999999999"/>
    <n v="16759.399999999998"/>
    <n v="3484.9499999999989"/>
  </r>
  <r>
    <n v="1069"/>
    <d v="2023-05-27T00:00:00"/>
    <s v="Charlie"/>
    <s v="West"/>
    <n v="5760.29"/>
    <n v="44"/>
    <x v="3"/>
    <n v="1084.73"/>
    <n v="1420.9"/>
    <s v="Returning"/>
    <n v="0.05"/>
    <s v="Credit Card"/>
    <s v="Online"/>
    <s v="West-Charlie"/>
    <n v="47728.12"/>
    <n v="62519.600000000006"/>
    <n v="14791.480000000003"/>
  </r>
  <r>
    <n v="1061"/>
    <d v="2023-04-22T00:00:00"/>
    <s v="Eve"/>
    <s v="South"/>
    <n v="8345.02"/>
    <n v="39"/>
    <x v="3"/>
    <n v="3494.19"/>
    <n v="3746"/>
    <s v="Returning"/>
    <n v="0.25"/>
    <s v="Bank Transfer"/>
    <s v="Retail"/>
    <s v="South-Eve"/>
    <n v="136273.41"/>
    <n v="146094"/>
    <n v="9820.5899999999965"/>
  </r>
  <r>
    <n v="1048"/>
    <d v="2023-02-05T00:00:00"/>
    <s v="David"/>
    <s v="North"/>
    <n v="9070.26"/>
    <n v="42"/>
    <x v="3"/>
    <n v="4723.83"/>
    <n v="5186.1899999999996"/>
    <s v="Returning"/>
    <n v="0.22"/>
    <s v="Credit Card"/>
    <s v="Online"/>
    <s v="North-David"/>
    <n v="198400.86"/>
    <n v="217819.97999999998"/>
    <n v="19419.119999999995"/>
  </r>
  <r>
    <n v="1019"/>
    <d v="2023-10-12T00:00:00"/>
    <s v="Charlie"/>
    <s v="West"/>
    <n v="220.35"/>
    <n v="16"/>
    <x v="2"/>
    <n v="4977.78"/>
    <n v="4995.55"/>
    <s v="New"/>
    <n v="0.25"/>
    <s v="Credit Card"/>
    <s v="Online"/>
    <s v="West-Charlie"/>
    <n v="79644.479999999996"/>
    <n v="79928.800000000003"/>
    <n v="284.32000000000698"/>
  </r>
  <r>
    <n v="1004"/>
    <d v="2023-07-07T00:00:00"/>
    <s v="Eve"/>
    <s v="North"/>
    <n v="6772.8"/>
    <n v="35"/>
    <x v="2"/>
    <n v="2278.87"/>
    <n v="2646.5299999999902"/>
    <s v="Returning"/>
    <n v="0.09"/>
    <s v="Bank Transfer"/>
    <s v="Online"/>
    <s v="North-Eve"/>
    <n v="79760.45"/>
    <n v="92628.549999999654"/>
    <n v="12868.099999999657"/>
  </r>
  <r>
    <n v="1035"/>
    <d v="2023-03-23T00:00:00"/>
    <s v="David"/>
    <s v="East"/>
    <n v="613.16999999999996"/>
    <n v="30"/>
    <x v="2"/>
    <n v="1300.03"/>
    <n v="1745.52"/>
    <s v="New"/>
    <n v="0.09"/>
    <s v="Cash"/>
    <s v="Retail"/>
    <s v="East-David"/>
    <n v="39000.9"/>
    <n v="52365.599999999999"/>
    <n v="13364.699999999997"/>
  </r>
  <r>
    <n v="1064"/>
    <d v="2023-01-02T00:00:00"/>
    <s v="David"/>
    <s v="South"/>
    <n v="5533.7"/>
    <n v="10"/>
    <x v="3"/>
    <n v="2242.0100000000002"/>
    <n v="2282.23"/>
    <s v="Returning"/>
    <n v="0.2"/>
    <s v="Credit Card"/>
    <s v="Online"/>
    <s v="South-David"/>
    <n v="22420.100000000002"/>
    <n v="22822.3"/>
    <n v="402.19999999999709"/>
  </r>
  <r>
    <n v="1049"/>
    <d v="2023-10-30T00:00:00"/>
    <s v="Alice"/>
    <s v="East"/>
    <n v="2947.56"/>
    <n v="38"/>
    <x v="1"/>
    <n v="4243.9799999999996"/>
    <n v="4474.5099999999902"/>
    <s v="New"/>
    <n v="0.01"/>
    <s v="Credit Card"/>
    <s v="Online"/>
    <s v="East-Alice"/>
    <n v="161271.24"/>
    <n v="170031.37999999963"/>
    <n v="8760.1399999996356"/>
  </r>
  <r>
    <n v="1017"/>
    <d v="2023-07-16T00:00:00"/>
    <s v="Alice"/>
    <s v="South"/>
    <n v="3137.09"/>
    <n v="18"/>
    <x v="0"/>
    <n v="1069.73"/>
    <n v="1180.04"/>
    <s v="Returning"/>
    <n v="0.22"/>
    <s v="Bank Transfer"/>
    <s v="Online"/>
    <s v="South-Alice"/>
    <n v="19255.14"/>
    <n v="21240.720000000001"/>
    <n v="1985.5800000000017"/>
  </r>
  <r>
    <n v="1044"/>
    <d v="2023-01-11T00:00:00"/>
    <s v="Eve"/>
    <s v="North"/>
    <n v="3594.29"/>
    <n v="5"/>
    <x v="1"/>
    <n v="4762.87"/>
    <n v="5050.46"/>
    <s v="New"/>
    <n v="0.25"/>
    <s v="Cash"/>
    <s v="Retail"/>
    <s v="North-Eve"/>
    <n v="23814.35"/>
    <n v="25252.3"/>
    <n v="1437.9500000000007"/>
  </r>
  <r>
    <n v="1092"/>
    <d v="2023-08-22T00:00:00"/>
    <s v="David"/>
    <s v="East"/>
    <n v="6250.8"/>
    <n v="29"/>
    <x v="2"/>
    <n v="1742.24"/>
    <n v="2070.52"/>
    <s v="New"/>
    <n v="0.12"/>
    <s v="Cash"/>
    <s v="Online"/>
    <s v="East-David"/>
    <n v="50524.959999999999"/>
    <n v="60045.08"/>
    <n v="9520.1200000000026"/>
  </r>
  <r>
    <n v="1030"/>
    <d v="2023-07-14T00:00:00"/>
    <s v="Bob"/>
    <s v="East"/>
    <n v="3407.09"/>
    <n v="39"/>
    <x v="2"/>
    <n v="4929.7299999999996"/>
    <n v="5088.0199999999904"/>
    <s v="New"/>
    <n v="0.23"/>
    <s v="Bank Transfer"/>
    <s v="Retail"/>
    <s v="East-Bob"/>
    <n v="192259.46999999997"/>
    <n v="198432.77999999962"/>
    <n v="6173.3099999996484"/>
  </r>
  <r>
    <n v="1093"/>
    <d v="2023-04-29T00:00:00"/>
    <s v="Alice"/>
    <s v="North"/>
    <n v="7353.72"/>
    <n v="34"/>
    <x v="1"/>
    <n v="4201.1099999999997"/>
    <n v="4436.5"/>
    <s v="New"/>
    <n v="0.05"/>
    <s v="Cash"/>
    <s v="Online"/>
    <s v="North-Alice"/>
    <n v="142837.74"/>
    <n v="150841"/>
    <n v="8003.2600000000093"/>
  </r>
  <r>
    <n v="1046"/>
    <d v="2023-01-20T00:00:00"/>
    <s v="Eve"/>
    <s v="East"/>
    <n v="4104.82"/>
    <n v="43"/>
    <x v="2"/>
    <n v="4052.42"/>
    <n v="4199.3"/>
    <s v="New"/>
    <n v="0.1"/>
    <s v="Bank Transfer"/>
    <s v="Retail"/>
    <s v="East-Eve"/>
    <n v="174254.06"/>
    <n v="180569.9"/>
    <n v="6315.8399999999965"/>
  </r>
  <r>
    <n v="1006"/>
    <d v="2023-09-18T00:00:00"/>
    <s v="David"/>
    <s v="West"/>
    <n v="776.7"/>
    <n v="45"/>
    <x v="0"/>
    <n v="1623.63"/>
    <n v="1814.63"/>
    <s v="New"/>
    <n v="0.28999999999999998"/>
    <s v="Bank Transfer"/>
    <s v="Retail"/>
    <s v="West-David"/>
    <n v="73063.350000000006"/>
    <n v="81658.350000000006"/>
    <n v="8595"/>
  </r>
  <r>
    <n v="1099"/>
    <d v="2023-10-20T00:00:00"/>
    <s v="David"/>
    <s v="South"/>
    <n v="7859.22"/>
    <n v="23"/>
    <x v="2"/>
    <n v="93.45"/>
    <n v="181.62"/>
    <s v="Returning"/>
    <n v="0.3"/>
    <s v="Bank Transfer"/>
    <s v="Retail"/>
    <s v="South-David"/>
    <n v="2149.35"/>
    <n v="4177.26"/>
    <n v="2027.9100000000003"/>
  </r>
  <r>
    <n v="1037"/>
    <d v="2023-09-13T00:00:00"/>
    <s v="Bob"/>
    <s v="South"/>
    <n v="2929.01"/>
    <n v="5"/>
    <x v="0"/>
    <n v="1941.56"/>
    <n v="2385.48"/>
    <s v="Returning"/>
    <n v="0.15"/>
    <s v="Credit Card"/>
    <s v="Online"/>
    <s v="South-Bob"/>
    <n v="9707.7999999999993"/>
    <n v="11927.4"/>
    <n v="2219.6000000000004"/>
  </r>
  <r>
    <n v="1024"/>
    <d v="2023-08-10T00:00:00"/>
    <s v="Eve"/>
    <s v="South"/>
    <n v="4384.3900000000003"/>
    <n v="30"/>
    <x v="1"/>
    <n v="1543.96"/>
    <n v="1558.87"/>
    <s v="Returning"/>
    <n v="0.28000000000000003"/>
    <s v="Credit Card"/>
    <s v="Online"/>
    <s v="South-Eve"/>
    <n v="46318.8"/>
    <n v="46766.1"/>
    <n v="447.29999999999563"/>
  </r>
  <r>
    <n v="1093"/>
    <d v="2023-08-14T00:00:00"/>
    <s v="David"/>
    <s v="West"/>
    <n v="6885.89"/>
    <n v="6"/>
    <x v="1"/>
    <n v="235.12"/>
    <n v="677.5"/>
    <s v="Returning"/>
    <n v="0.16"/>
    <s v="Credit Card"/>
    <s v="Online"/>
    <s v="West-David"/>
    <n v="1410.72"/>
    <n v="4065"/>
    <n v="2654.2799999999997"/>
  </r>
  <r>
    <n v="1046"/>
    <d v="2023-02-22T00:00:00"/>
    <s v="Alice"/>
    <s v="South"/>
    <n v="3391.32"/>
    <n v="46"/>
    <x v="2"/>
    <n v="2551.56"/>
    <n v="2841.68"/>
    <s v="New"/>
    <n v="0.09"/>
    <s v="Bank Transfer"/>
    <s v="Retail"/>
    <s v="South-Alice"/>
    <n v="117371.76"/>
    <n v="130717.28"/>
    <n v="13345.520000000004"/>
  </r>
  <r>
    <n v="1053"/>
    <d v="2023-12-21T00:00:00"/>
    <s v="Bob"/>
    <s v="North"/>
    <n v="660.2"/>
    <n v="44"/>
    <x v="0"/>
    <n v="2045"/>
    <n v="2217.5100000000002"/>
    <s v="Returning"/>
    <n v="0.08"/>
    <s v="Credit Card"/>
    <s v="Online"/>
    <s v="North-Bob"/>
    <n v="89980"/>
    <n v="97570.44"/>
    <n v="7590.4400000000023"/>
  </r>
  <r>
    <n v="1095"/>
    <d v="2023-12-08T00:00:00"/>
    <s v="Eve"/>
    <s v="East"/>
    <n v="3801.82"/>
    <n v="4"/>
    <x v="2"/>
    <n v="3191.05"/>
    <n v="3555.35"/>
    <s v="New"/>
    <n v="0.28000000000000003"/>
    <s v="Credit Card"/>
    <s v="Online"/>
    <s v="East-Eve"/>
    <n v="12764.2"/>
    <n v="14221.4"/>
    <n v="1457.1999999999989"/>
  </r>
  <r>
    <n v="1099"/>
    <d v="2023-12-30T00:00:00"/>
    <s v="Bob"/>
    <s v="West"/>
    <n v="9450.0400000000009"/>
    <n v="29"/>
    <x v="3"/>
    <n v="3124.87"/>
    <n v="3383.67"/>
    <s v="New"/>
    <n v="0.05"/>
    <s v="Credit Card"/>
    <s v="Retail"/>
    <s v="West-Bob"/>
    <n v="90621.23"/>
    <n v="98126.430000000008"/>
    <n v="7505.2000000000116"/>
  </r>
  <r>
    <n v="1060"/>
    <d v="2023-10-07T00:00:00"/>
    <s v="Alice"/>
    <s v="South"/>
    <n v="6453.17"/>
    <n v="23"/>
    <x v="3"/>
    <n v="647.70000000000005"/>
    <n v="902.26"/>
    <s v="New"/>
    <n v="0.17"/>
    <s v="Bank Transfer"/>
    <s v="Online"/>
    <s v="South-Alice"/>
    <n v="14897.1"/>
    <n v="20751.98"/>
    <n v="5854.8799999999992"/>
  </r>
  <r>
    <n v="1097"/>
    <d v="2023-03-22T00:00:00"/>
    <s v="Eve"/>
    <s v="North"/>
    <n v="6747.64"/>
    <n v="6"/>
    <x v="3"/>
    <n v="4885.9799999999996"/>
    <n v="4949.95"/>
    <s v="Returning"/>
    <n v="0.17"/>
    <s v="Bank Transfer"/>
    <s v="Online"/>
    <s v="North-Eve"/>
    <n v="29315.879999999997"/>
    <n v="29699.699999999997"/>
    <n v="383.81999999999971"/>
  </r>
  <r>
    <n v="1063"/>
    <d v="2023-07-21T00:00:00"/>
    <s v="Bob"/>
    <s v="East"/>
    <n v="6359.59"/>
    <n v="32"/>
    <x v="3"/>
    <n v="975.31"/>
    <n v="1176.17"/>
    <s v="New"/>
    <n v="0.22"/>
    <s v="Bank Transfer"/>
    <s v="Retail"/>
    <s v="East-Bob"/>
    <n v="31209.919999999998"/>
    <n v="37637.440000000002"/>
    <n v="6427.5200000000041"/>
  </r>
  <r>
    <n v="1085"/>
    <d v="2023-06-07T00:00:00"/>
    <s v="Charlie"/>
    <s v="East"/>
    <n v="2070.02"/>
    <n v="42"/>
    <x v="2"/>
    <n v="2254.11"/>
    <n v="2382.23"/>
    <s v="Returning"/>
    <n v="0.15"/>
    <s v="Credit Card"/>
    <s v="Retail"/>
    <s v="East-Charlie"/>
    <n v="94672.62000000001"/>
    <n v="100053.66"/>
    <n v="5381.0399999999936"/>
  </r>
  <r>
    <n v="1032"/>
    <d v="2023-04-30T00:00:00"/>
    <s v="Alice"/>
    <s v="West"/>
    <n v="4241.51"/>
    <n v="18"/>
    <x v="3"/>
    <n v="2466.1799999999998"/>
    <n v="2483.87"/>
    <s v="Returning"/>
    <n v="0.08"/>
    <s v="Cash"/>
    <s v="Online"/>
    <s v="West-Alice"/>
    <n v="44391.24"/>
    <n v="44709.659999999996"/>
    <n v="318.41999999999825"/>
  </r>
  <r>
    <n v="1087"/>
    <d v="2023-02-28T00:00:00"/>
    <s v="Alice"/>
    <s v="West"/>
    <n v="7534.3"/>
    <n v="15"/>
    <x v="0"/>
    <n v="4074.66"/>
    <n v="4261.1099999999997"/>
    <s v="Returning"/>
    <n v="0.05"/>
    <s v="Credit Card"/>
    <s v="Retail"/>
    <s v="West-Alice"/>
    <n v="61119.899999999994"/>
    <n v="63916.649999999994"/>
    <n v="2796.75"/>
  </r>
  <r>
    <n v="1033"/>
    <d v="2023-08-03T00:00:00"/>
    <s v="Alice"/>
    <s v="West"/>
    <n v="1103.5899999999999"/>
    <n v="40"/>
    <x v="1"/>
    <n v="541.19000000000005"/>
    <n v="595.20000000000005"/>
    <s v="Returning"/>
    <n v="0.19"/>
    <s v="Credit Card"/>
    <s v="Online"/>
    <s v="West-Alice"/>
    <n v="21647.600000000002"/>
    <n v="23808"/>
    <n v="2160.3999999999978"/>
  </r>
  <r>
    <n v="1067"/>
    <d v="2023-05-08T00:00:00"/>
    <s v="Charlie"/>
    <s v="North"/>
    <n v="2850.74"/>
    <n v="32"/>
    <x v="1"/>
    <n v="2171.79"/>
    <n v="2307.64"/>
    <s v="Returning"/>
    <n v="0.22"/>
    <s v="Bank Transfer"/>
    <s v="Online"/>
    <s v="North-Charlie"/>
    <n v="69497.279999999999"/>
    <n v="73844.479999999996"/>
    <n v="4347.1999999999971"/>
  </r>
  <r>
    <n v="1018"/>
    <d v="2023-08-12T00:00:00"/>
    <s v="Charlie"/>
    <s v="North"/>
    <n v="2835.56"/>
    <n v="9"/>
    <x v="3"/>
    <n v="3161.09"/>
    <n v="3216.42"/>
    <s v="New"/>
    <n v="0.17"/>
    <s v="Bank Transfer"/>
    <s v="Online"/>
    <s v="North-Charlie"/>
    <n v="28449.81"/>
    <n v="28947.78"/>
    <n v="497.96999999999753"/>
  </r>
  <r>
    <n v="1025"/>
    <d v="2023-07-28T00:00:00"/>
    <s v="David"/>
    <s v="West"/>
    <n v="4376.99"/>
    <n v="37"/>
    <x v="3"/>
    <n v="1115.02"/>
    <n v="1174.48"/>
    <s v="New"/>
    <n v="0.22"/>
    <s v="Credit Card"/>
    <s v="Online"/>
    <s v="West-David"/>
    <n v="41255.74"/>
    <n v="43455.76"/>
    <n v="2200.0200000000041"/>
  </r>
  <r>
    <n v="1095"/>
    <d v="2023-04-25T00:00:00"/>
    <s v="Bob"/>
    <s v="South"/>
    <n v="9805.65"/>
    <n v="10"/>
    <x v="3"/>
    <n v="3155.97"/>
    <n v="3263.49"/>
    <s v="Returning"/>
    <n v="0.04"/>
    <s v="Credit Card"/>
    <s v="Online"/>
    <s v="South-Bob"/>
    <n v="31559.699999999997"/>
    <n v="32634.899999999998"/>
    <n v="1075.2000000000007"/>
  </r>
  <r>
    <n v="1054"/>
    <d v="2023-07-28T00:00:00"/>
    <s v="David"/>
    <s v="East"/>
    <n v="768.28"/>
    <n v="20"/>
    <x v="2"/>
    <n v="4622.1400000000003"/>
    <n v="5122.07"/>
    <s v="New"/>
    <n v="0.26"/>
    <s v="Cash"/>
    <s v="Retail"/>
    <s v="East-David"/>
    <n v="92442.8"/>
    <n v="102441.4"/>
    <n v="9998.5999999999913"/>
  </r>
  <r>
    <n v="1058"/>
    <d v="2023-01-14T00:00:00"/>
    <s v="Bob"/>
    <s v="East"/>
    <n v="5235.1400000000003"/>
    <n v="6"/>
    <x v="1"/>
    <n v="4987.71"/>
    <n v="4998.78"/>
    <s v="Returning"/>
    <n v="0.17"/>
    <s v="Cash"/>
    <s v="Retail"/>
    <s v="East-Bob"/>
    <n v="29926.260000000002"/>
    <n v="29992.68"/>
    <n v="66.419999999998254"/>
  </r>
  <r>
    <n v="1067"/>
    <d v="2023-01-09T00:00:00"/>
    <s v="Charlie"/>
    <s v="North"/>
    <n v="1875.71"/>
    <n v="48"/>
    <x v="3"/>
    <n v="210.63"/>
    <n v="533.57999999999902"/>
    <s v="New"/>
    <n v="0.04"/>
    <s v="Bank Transfer"/>
    <s v="Online"/>
    <s v="North-Charlie"/>
    <n v="10110.24"/>
    <n v="25611.839999999953"/>
    <n v="15501.599999999953"/>
  </r>
  <r>
    <n v="1046"/>
    <d v="2023-02-09T00:00:00"/>
    <s v="Charlie"/>
    <s v="East"/>
    <n v="9709.7000000000007"/>
    <n v="3"/>
    <x v="0"/>
    <n v="1216.1600000000001"/>
    <n v="1295.3699999999999"/>
    <s v="New"/>
    <n v="0.14000000000000001"/>
    <s v="Cash"/>
    <s v="Retail"/>
    <s v="East-Charlie"/>
    <n v="3648.4800000000005"/>
    <n v="3886.1099999999997"/>
    <n v="237.6299999999992"/>
  </r>
  <r>
    <n v="1024"/>
    <d v="2023-08-25T00:00:00"/>
    <s v="David"/>
    <s v="South"/>
    <n v="1221.7"/>
    <n v="42"/>
    <x v="3"/>
    <n v="1586.02"/>
    <n v="2047.13"/>
    <s v="New"/>
    <n v="0.25"/>
    <s v="Cash"/>
    <s v="Retail"/>
    <s v="South-David"/>
    <n v="66612.84"/>
    <n v="85979.46"/>
    <n v="19366.62000000001"/>
  </r>
  <r>
    <n v="1032"/>
    <d v="2023-10-08T00:00:00"/>
    <s v="Eve"/>
    <s v="East"/>
    <n v="4095.65"/>
    <n v="11"/>
    <x v="1"/>
    <n v="2025.67"/>
    <n v="2081.5500000000002"/>
    <s v="New"/>
    <n v="0.27"/>
    <s v="Bank Transfer"/>
    <s v="Online"/>
    <s v="East-Eve"/>
    <n v="22282.370000000003"/>
    <n v="22897.050000000003"/>
    <n v="614.68000000000029"/>
  </r>
  <r>
    <n v="1047"/>
    <d v="2023-12-25T00:00:00"/>
    <s v="David"/>
    <s v="North"/>
    <n v="7405.06"/>
    <n v="43"/>
    <x v="3"/>
    <n v="1249.17"/>
    <n v="1727.15"/>
    <s v="New"/>
    <n v="0.08"/>
    <s v="Cash"/>
    <s v="Retail"/>
    <s v="North-David"/>
    <n v="53714.310000000005"/>
    <n v="74267.45"/>
    <n v="20553.139999999992"/>
  </r>
  <r>
    <n v="1086"/>
    <d v="2023-07-20T00:00:00"/>
    <s v="Bob"/>
    <s v="North"/>
    <n v="7075.09"/>
    <n v="17"/>
    <x v="1"/>
    <n v="1057.27"/>
    <n v="1366.62"/>
    <s v="New"/>
    <n v="0.21"/>
    <s v="Credit Card"/>
    <s v="Retail"/>
    <s v="North-Bob"/>
    <n v="17973.59"/>
    <n v="23232.539999999997"/>
    <n v="5258.9499999999971"/>
  </r>
  <r>
    <n v="1023"/>
    <d v="2023-09-03T00:00:00"/>
    <s v="David"/>
    <s v="South"/>
    <n v="4285.01"/>
    <n v="32"/>
    <x v="3"/>
    <n v="4775.04"/>
    <n v="4785.66"/>
    <s v="New"/>
    <n v="0.03"/>
    <s v="Cash"/>
    <s v="Online"/>
    <s v="South-David"/>
    <n v="152801.28"/>
    <n v="153141.12"/>
    <n v="339.83999999999651"/>
  </r>
  <r>
    <n v="1066"/>
    <d v="2023-10-05T00:00:00"/>
    <s v="Alice"/>
    <s v="South"/>
    <n v="3530.59"/>
    <n v="4"/>
    <x v="0"/>
    <n v="4596.68"/>
    <n v="5044.74"/>
    <s v="New"/>
    <n v="0.01"/>
    <s v="Bank Transfer"/>
    <s v="Online"/>
    <s v="South-Alice"/>
    <n v="18386.72"/>
    <n v="20178.96"/>
    <n v="1792.239999999998"/>
  </r>
  <r>
    <n v="1027"/>
    <d v="2023-08-23T00:00:00"/>
    <s v="Bob"/>
    <s v="East"/>
    <n v="4036.36"/>
    <n v="4"/>
    <x v="3"/>
    <n v="282.61"/>
    <n v="548.25"/>
    <s v="New"/>
    <n v="0.17"/>
    <s v="Credit Card"/>
    <s v="Online"/>
    <s v="East-Bob"/>
    <n v="1130.44"/>
    <n v="2193"/>
    <n v="1062.56"/>
  </r>
  <r>
    <n v="1002"/>
    <d v="2023-01-04T00:00:00"/>
    <s v="Bob"/>
    <s v="East"/>
    <n v="2716.34"/>
    <n v="17"/>
    <x v="0"/>
    <n v="1727.12"/>
    <n v="1865.83"/>
    <s v="New"/>
    <n v="0.21"/>
    <s v="Cash"/>
    <s v="Online"/>
    <s v="East-Bob"/>
    <n v="29361.039999999997"/>
    <n v="31719.11"/>
    <n v="2358.0700000000033"/>
  </r>
  <r>
    <n v="1090"/>
    <d v="2023-06-03T00:00:00"/>
    <s v="Eve"/>
    <s v="North"/>
    <n v="2132.8000000000002"/>
    <n v="41"/>
    <x v="0"/>
    <n v="2055.4899999999998"/>
    <n v="2441.46"/>
    <s v="New"/>
    <n v="0.24"/>
    <s v="Credit Card"/>
    <s v="Online"/>
    <s v="North-Eve"/>
    <n v="84275.09"/>
    <n v="100099.86"/>
    <n v="15824.770000000004"/>
  </r>
  <r>
    <n v="1017"/>
    <d v="2023-01-29T00:00:00"/>
    <s v="Charlie"/>
    <s v="South"/>
    <n v="4882.09"/>
    <n v="19"/>
    <x v="3"/>
    <n v="1233.1199999999999"/>
    <n v="1697.1899999999901"/>
    <s v="New"/>
    <n v="0.1"/>
    <s v="Credit Card"/>
    <s v="Online"/>
    <s v="South-Charlie"/>
    <n v="23429.279999999999"/>
    <n v="32246.609999999811"/>
    <n v="8817.3299999998126"/>
  </r>
  <r>
    <n v="1033"/>
    <d v="2023-04-19T00:00:00"/>
    <s v="Bob"/>
    <s v="South"/>
    <n v="2758.48"/>
    <n v="5"/>
    <x v="0"/>
    <n v="3162.92"/>
    <n v="3409.93"/>
    <s v="New"/>
    <n v="0"/>
    <s v="Cash"/>
    <s v="Online"/>
    <s v="South-Bob"/>
    <n v="15814.6"/>
    <n v="17049.649999999998"/>
    <n v="1235.0499999999975"/>
  </r>
  <r>
    <n v="1009"/>
    <d v="2023-04-08T00:00:00"/>
    <s v="Charlie"/>
    <s v="South"/>
    <n v="2945.87"/>
    <n v="32"/>
    <x v="2"/>
    <n v="3219.88"/>
    <n v="3384.5"/>
    <s v="Returning"/>
    <n v="0.14000000000000001"/>
    <s v="Cash"/>
    <s v="Retail"/>
    <s v="South-Charlie"/>
    <n v="103036.16"/>
    <n v="108304"/>
    <n v="5267.8399999999965"/>
  </r>
  <r>
    <n v="1043"/>
    <d v="2023-08-03T00:00:00"/>
    <s v="David"/>
    <s v="East"/>
    <n v="6601.89"/>
    <n v="22"/>
    <x v="3"/>
    <n v="4260"/>
    <n v="4656.58"/>
    <s v="New"/>
    <n v="0"/>
    <s v="Bank Transfer"/>
    <s v="Online"/>
    <s v="East-David"/>
    <n v="93720"/>
    <n v="102444.76"/>
    <n v="8724.7599999999948"/>
  </r>
  <r>
    <n v="1048"/>
    <d v="2023-10-20T00:00:00"/>
    <s v="Alice"/>
    <s v="South"/>
    <n v="9688.52"/>
    <n v="6"/>
    <x v="3"/>
    <n v="3717.3"/>
    <n v="4061.37"/>
    <s v="New"/>
    <n v="0.03"/>
    <s v="Bank Transfer"/>
    <s v="Retail"/>
    <s v="South-Alice"/>
    <n v="22303.800000000003"/>
    <n v="24368.22"/>
    <n v="2064.4199999999983"/>
  </r>
  <r>
    <n v="1039"/>
    <d v="2023-03-16T00:00:00"/>
    <s v="Eve"/>
    <s v="North"/>
    <n v="6076.01"/>
    <n v="35"/>
    <x v="0"/>
    <n v="2735.74"/>
    <n v="3181.22999999999"/>
    <s v="New"/>
    <n v="0.1"/>
    <s v="Credit Card"/>
    <s v="Retail"/>
    <s v="North-Eve"/>
    <n v="95750.9"/>
    <n v="111343.04999999965"/>
    <n v="15592.149999999659"/>
  </r>
  <r>
    <n v="1093"/>
    <d v="2023-11-22T00:00:00"/>
    <s v="Charlie"/>
    <s v="North"/>
    <n v="862.1"/>
    <n v="22"/>
    <x v="0"/>
    <n v="3285.25"/>
    <n v="3634.58"/>
    <s v="New"/>
    <n v="0.13"/>
    <s v="Bank Transfer"/>
    <s v="Online"/>
    <s v="North-Charlie"/>
    <n v="72275.5"/>
    <n v="79960.759999999995"/>
    <n v="7685.2599999999948"/>
  </r>
  <r>
    <n v="1042"/>
    <d v="2023-05-26T00:00:00"/>
    <s v="Bob"/>
    <s v="East"/>
    <n v="848.28"/>
    <n v="1"/>
    <x v="3"/>
    <n v="1406.24"/>
    <n v="1535.57"/>
    <s v="New"/>
    <n v="0.08"/>
    <s v="Credit Card"/>
    <s v="Retail"/>
    <s v="East-Bob"/>
    <n v="1406.24"/>
    <n v="1535.57"/>
    <n v="129.32999999999993"/>
  </r>
  <r>
    <n v="1026"/>
    <d v="2023-05-08T00:00:00"/>
    <s v="Charlie"/>
    <s v="West"/>
    <n v="9519.09"/>
    <n v="20"/>
    <x v="2"/>
    <n v="2985.63"/>
    <n v="3452.14"/>
    <s v="New"/>
    <n v="0.17"/>
    <s v="Credit Card"/>
    <s v="Retail"/>
    <s v="West-Charlie"/>
    <n v="59712.600000000006"/>
    <n v="69042.8"/>
    <n v="9330.1999999999971"/>
  </r>
  <r>
    <n v="1099"/>
    <d v="2023-12-07T00:00:00"/>
    <s v="Bob"/>
    <s v="East"/>
    <n v="3043.18"/>
    <n v="22"/>
    <x v="0"/>
    <n v="2471.67"/>
    <n v="2533.04"/>
    <s v="Returning"/>
    <n v="0.02"/>
    <s v="Bank Transfer"/>
    <s v="Retail"/>
    <s v="East-Bob"/>
    <n v="54376.740000000005"/>
    <n v="55726.879999999997"/>
    <n v="1350.1399999999921"/>
  </r>
  <r>
    <n v="1050"/>
    <d v="2023-02-11T00:00:00"/>
    <s v="Charlie"/>
    <s v="West"/>
    <n v="1011.46"/>
    <n v="48"/>
    <x v="0"/>
    <n v="710.06"/>
    <n v="851.349999999999"/>
    <s v="Returning"/>
    <n v="0.04"/>
    <s v="Bank Transfer"/>
    <s v="Online"/>
    <s v="West-Charlie"/>
    <n v="34082.879999999997"/>
    <n v="40864.799999999952"/>
    <n v="6781.9199999999546"/>
  </r>
  <r>
    <n v="1025"/>
    <d v="2023-12-22T00:00:00"/>
    <s v="Bob"/>
    <s v="South"/>
    <n v="6030.54"/>
    <n v="11"/>
    <x v="1"/>
    <n v="1250.5899999999999"/>
    <n v="1515.48999999999"/>
    <s v="Returning"/>
    <n v="0.21"/>
    <s v="Bank Transfer"/>
    <s v="Retail"/>
    <s v="South-Bob"/>
    <n v="13756.49"/>
    <n v="16670.38999999989"/>
    <n v="2913.8999999998905"/>
  </r>
  <r>
    <n v="1024"/>
    <d v="2023-02-10T00:00:00"/>
    <s v="David"/>
    <s v="East"/>
    <n v="6274.12"/>
    <n v="13"/>
    <x v="2"/>
    <n v="1493.88"/>
    <n v="1781.09"/>
    <s v="New"/>
    <n v="0.04"/>
    <s v="Cash"/>
    <s v="Retail"/>
    <s v="East-David"/>
    <n v="19420.440000000002"/>
    <n v="23154.17"/>
    <n v="3733.7299999999959"/>
  </r>
  <r>
    <n v="1013"/>
    <d v="2023-02-03T00:00:00"/>
    <s v="Bob"/>
    <s v="North"/>
    <n v="6520.2"/>
    <n v="42"/>
    <x v="2"/>
    <n v="4625.33"/>
    <n v="4642.83"/>
    <s v="New"/>
    <n v="0.19"/>
    <s v="Credit Card"/>
    <s v="Online"/>
    <s v="North-Bob"/>
    <n v="194263.86"/>
    <n v="194998.86"/>
    <n v="735"/>
  </r>
  <r>
    <n v="1060"/>
    <d v="2023-01-17T00:00:00"/>
    <s v="Bob"/>
    <s v="South"/>
    <n v="2747.28"/>
    <n v="3"/>
    <x v="3"/>
    <n v="1190.4100000000001"/>
    <n v="1582.89"/>
    <s v="New"/>
    <n v="0.02"/>
    <s v="Credit Card"/>
    <s v="Retail"/>
    <s v="South-Bob"/>
    <n v="3571.2300000000005"/>
    <n v="4748.67"/>
    <n v="1177.4399999999996"/>
  </r>
  <r>
    <n v="1007"/>
    <d v="2023-06-14T00:00:00"/>
    <s v="Alice"/>
    <s v="North"/>
    <n v="249.6"/>
    <n v="9"/>
    <x v="2"/>
    <n v="1481.76"/>
    <n v="1668.95"/>
    <s v="Returning"/>
    <n v="0.12"/>
    <s v="Credit Card"/>
    <s v="Retail"/>
    <s v="North-Alice"/>
    <n v="13335.84"/>
    <n v="15020.550000000001"/>
    <n v="1684.7100000000009"/>
  </r>
  <r>
    <n v="1057"/>
    <d v="2023-06-02T00:00:00"/>
    <s v="Bob"/>
    <s v="South"/>
    <n v="9653.65"/>
    <n v="12"/>
    <x v="3"/>
    <n v="1878.3"/>
    <n v="2087.4499999999998"/>
    <s v="New"/>
    <n v="0.05"/>
    <s v="Bank Transfer"/>
    <s v="Retail"/>
    <s v="South-Bob"/>
    <n v="22539.599999999999"/>
    <n v="25049.399999999998"/>
    <n v="2509.7999999999993"/>
  </r>
  <r>
    <n v="1036"/>
    <d v="2023-03-17T00:00:00"/>
    <s v="Alice"/>
    <s v="East"/>
    <n v="2583.84"/>
    <n v="23"/>
    <x v="1"/>
    <n v="3335.53"/>
    <n v="3742.12"/>
    <s v="New"/>
    <n v="0.03"/>
    <s v="Bank Transfer"/>
    <s v="Retail"/>
    <s v="East-Alice"/>
    <n v="76717.19"/>
    <n v="86068.76"/>
    <n v="9351.5699999999924"/>
  </r>
  <r>
    <n v="1045"/>
    <d v="2023-03-28T00:00:00"/>
    <s v="Eve"/>
    <s v="West"/>
    <n v="6792.66"/>
    <n v="14"/>
    <x v="2"/>
    <n v="635.28"/>
    <n v="831.13"/>
    <s v="Returning"/>
    <n v="0.17"/>
    <s v="Bank Transfer"/>
    <s v="Retail"/>
    <s v="West-Eve"/>
    <n v="8893.92"/>
    <n v="11635.82"/>
    <n v="2741.8999999999996"/>
  </r>
  <r>
    <n v="1020"/>
    <d v="2023-04-27T00:00:00"/>
    <s v="Alice"/>
    <s v="South"/>
    <n v="7095.64"/>
    <n v="33"/>
    <x v="0"/>
    <n v="4772.03"/>
    <n v="4805.17"/>
    <s v="Returning"/>
    <n v="0.28000000000000003"/>
    <s v="Bank Transfer"/>
    <s v="Online"/>
    <s v="South-Alice"/>
    <n v="157476.99"/>
    <n v="158570.61000000002"/>
    <n v="1093.6200000000244"/>
  </r>
  <r>
    <n v="1065"/>
    <d v="2023-12-28T00:00:00"/>
    <s v="David"/>
    <s v="West"/>
    <n v="6139.07"/>
    <n v="18"/>
    <x v="1"/>
    <n v="4334.58"/>
    <n v="4431.04"/>
    <s v="New"/>
    <n v="0.02"/>
    <s v="Bank Transfer"/>
    <s v="Retail"/>
    <s v="West-David"/>
    <n v="78022.44"/>
    <n v="79758.720000000001"/>
    <n v="1736.2799999999988"/>
  </r>
  <r>
    <n v="1008"/>
    <d v="2023-12-08T00:00:00"/>
    <s v="Alice"/>
    <s v="South"/>
    <n v="3197.78"/>
    <n v="49"/>
    <x v="3"/>
    <n v="2907.22"/>
    <n v="3385.6099999999901"/>
    <s v="New"/>
    <n v="0.13"/>
    <s v="Cash"/>
    <s v="Online"/>
    <s v="South-Alice"/>
    <n v="142453.78"/>
    <n v="165894.88999999952"/>
    <n v="23441.10999999952"/>
  </r>
  <r>
    <n v="1016"/>
    <d v="2023-01-27T00:00:00"/>
    <s v="Eve"/>
    <s v="North"/>
    <n v="2783.85"/>
    <n v="41"/>
    <x v="1"/>
    <n v="3386.49"/>
    <n v="3430.99"/>
    <s v="New"/>
    <n v="0.21"/>
    <s v="Bank Transfer"/>
    <s v="Retail"/>
    <s v="North-Eve"/>
    <n v="138846.09"/>
    <n v="140670.59"/>
    <n v="1824.5"/>
  </r>
  <r>
    <n v="1014"/>
    <d v="2023-11-09T00:00:00"/>
    <s v="David"/>
    <s v="North"/>
    <n v="6016.92"/>
    <n v="9"/>
    <x v="3"/>
    <n v="132.47"/>
    <n v="316.39"/>
    <s v="New"/>
    <n v="0.14000000000000001"/>
    <s v="Credit Card"/>
    <s v="Online"/>
    <s v="North-David"/>
    <n v="1192.23"/>
    <n v="2847.5099999999998"/>
    <n v="1655.2799999999997"/>
  </r>
  <r>
    <n v="1076"/>
    <d v="2023-10-14T00:00:00"/>
    <s v="Charlie"/>
    <s v="South"/>
    <n v="8674.35"/>
    <n v="23"/>
    <x v="1"/>
    <n v="1727.78"/>
    <n v="1984.34"/>
    <s v="Returning"/>
    <n v="0.24"/>
    <s v="Bank Transfer"/>
    <s v="Online"/>
    <s v="South-Charlie"/>
    <n v="39738.94"/>
    <n v="45639.82"/>
    <n v="5900.8799999999974"/>
  </r>
  <r>
    <n v="1087"/>
    <d v="2023-05-14T00:00:00"/>
    <s v="Charlie"/>
    <s v="West"/>
    <n v="9472.66"/>
    <n v="10"/>
    <x v="3"/>
    <n v="3988.52"/>
    <n v="4240.2299999999996"/>
    <s v="New"/>
    <n v="0.05"/>
    <s v="Credit Card"/>
    <s v="Online"/>
    <s v="West-Charlie"/>
    <n v="39885.199999999997"/>
    <n v="42402.299999999996"/>
    <n v="2517.0999999999985"/>
  </r>
  <r>
    <n v="1015"/>
    <d v="2023-08-07T00:00:00"/>
    <s v="Alice"/>
    <s v="East"/>
    <n v="1148.47"/>
    <n v="19"/>
    <x v="2"/>
    <n v="433.54"/>
    <n v="445.48"/>
    <s v="New"/>
    <n v="0.28999999999999998"/>
    <s v="Bank Transfer"/>
    <s v="Retail"/>
    <s v="East-Alice"/>
    <n v="8237.26"/>
    <n v="8464.1200000000008"/>
    <n v="226.86000000000058"/>
  </r>
  <r>
    <n v="1092"/>
    <d v="2023-06-17T00:00:00"/>
    <s v="Alice"/>
    <s v="East"/>
    <n v="1632.8"/>
    <n v="47"/>
    <x v="0"/>
    <n v="1447.45"/>
    <n v="1703.02"/>
    <s v="Returning"/>
    <n v="0.12"/>
    <s v="Bank Transfer"/>
    <s v="Retail"/>
    <s v="East-Alice"/>
    <n v="68030.150000000009"/>
    <n v="80041.94"/>
    <n v="12011.789999999994"/>
  </r>
  <r>
    <n v="1098"/>
    <d v="2023-04-08T00:00:00"/>
    <s v="Eve"/>
    <s v="North"/>
    <n v="9452.89"/>
    <n v="5"/>
    <x v="3"/>
    <n v="2947.22"/>
    <n v="3145.27"/>
    <s v="New"/>
    <n v="0.1"/>
    <s v="Credit Card"/>
    <s v="Retail"/>
    <s v="North-Eve"/>
    <n v="14736.099999999999"/>
    <n v="15726.35"/>
    <n v="990.25000000000182"/>
  </r>
  <r>
    <n v="1066"/>
    <d v="2023-09-25T00:00:00"/>
    <s v="Eve"/>
    <s v="East"/>
    <n v="7391.7"/>
    <n v="47"/>
    <x v="1"/>
    <n v="1319.24"/>
    <n v="1805.56"/>
    <s v="New"/>
    <n v="0.26"/>
    <s v="Credit Card"/>
    <s v="Retail"/>
    <s v="East-Eve"/>
    <n v="62004.28"/>
    <n v="84861.319999999992"/>
    <n v="22857.039999999994"/>
  </r>
  <r>
    <n v="1032"/>
    <d v="2023-08-25T00:00:00"/>
    <s v="Bob"/>
    <s v="North"/>
    <n v="8841.64"/>
    <n v="23"/>
    <x v="3"/>
    <n v="4673.1899999999996"/>
    <n v="4761.1799999999903"/>
    <s v="Returning"/>
    <n v="0.17"/>
    <s v="Credit Card"/>
    <s v="Retail"/>
    <s v="North-Bob"/>
    <n v="107483.37"/>
    <n v="109507.13999999978"/>
    <n v="2023.7699999997858"/>
  </r>
  <r>
    <n v="1087"/>
    <d v="2023-11-05T00:00:00"/>
    <s v="Eve"/>
    <s v="East"/>
    <n v="2106.06"/>
    <n v="30"/>
    <x v="3"/>
    <n v="698.74"/>
    <n v="882.28"/>
    <s v="Returning"/>
    <n v="0.15"/>
    <s v="Credit Card"/>
    <s v="Online"/>
    <s v="East-Eve"/>
    <n v="20962.2"/>
    <n v="26468.399999999998"/>
    <n v="5506.1999999999971"/>
  </r>
  <r>
    <n v="1063"/>
    <d v="2023-06-22T00:00:00"/>
    <s v="Bob"/>
    <s v="South"/>
    <n v="5917.1"/>
    <n v="25"/>
    <x v="3"/>
    <n v="3997.1"/>
    <n v="4212.6499999999996"/>
    <s v="New"/>
    <n v="0.22"/>
    <s v="Cash"/>
    <s v="Online"/>
    <s v="South-Bob"/>
    <n v="99927.5"/>
    <n v="105316.24999999999"/>
    <n v="5388.7499999999854"/>
  </r>
  <r>
    <n v="1086"/>
    <d v="2023-07-09T00:00:00"/>
    <s v="David"/>
    <s v="North"/>
    <n v="7041.28"/>
    <n v="28"/>
    <x v="1"/>
    <n v="2564.35"/>
    <n v="2765.79"/>
    <s v="Returning"/>
    <n v="0.17"/>
    <s v="Credit Card"/>
    <s v="Online"/>
    <s v="North-David"/>
    <n v="71801.8"/>
    <n v="77442.12"/>
    <n v="5640.3199999999924"/>
  </r>
  <r>
    <n v="1051"/>
    <d v="2023-05-02T00:00:00"/>
    <s v="Alice"/>
    <s v="North"/>
    <n v="6833.11"/>
    <n v="34"/>
    <x v="0"/>
    <n v="3764.14"/>
    <n v="4100.3999999999996"/>
    <s v="Returning"/>
    <n v="0.05"/>
    <s v="Bank Transfer"/>
    <s v="Retail"/>
    <s v="North-Alice"/>
    <n v="127980.76"/>
    <n v="139413.59999999998"/>
    <n v="11432.839999999982"/>
  </r>
  <r>
    <n v="1025"/>
    <d v="2023-02-15T00:00:00"/>
    <s v="David"/>
    <s v="South"/>
    <n v="4140.7"/>
    <n v="45"/>
    <x v="2"/>
    <n v="1588.04"/>
    <n v="1703.6399999999901"/>
    <s v="New"/>
    <n v="0.2"/>
    <s v="Bank Transfer"/>
    <s v="Retail"/>
    <s v="South-David"/>
    <n v="71461.8"/>
    <n v="76663.799999999552"/>
    <n v="5201.9999999995489"/>
  </r>
  <r>
    <n v="1058"/>
    <d v="2023-03-05T00:00:00"/>
    <s v="Eve"/>
    <s v="North"/>
    <n v="252.41"/>
    <n v="48"/>
    <x v="0"/>
    <n v="2596.7199999999998"/>
    <n v="2715.0499999999902"/>
    <s v="Returning"/>
    <n v="0.04"/>
    <s v="Cash"/>
    <s v="Online"/>
    <s v="North-Eve"/>
    <n v="124642.56"/>
    <n v="130322.39999999953"/>
    <n v="5679.8399999995308"/>
  </r>
  <r>
    <n v="1063"/>
    <d v="2023-05-10T00:00:00"/>
    <s v="David"/>
    <s v="East"/>
    <n v="5870.97"/>
    <n v="47"/>
    <x v="3"/>
    <n v="4291.33"/>
    <n v="4658.6400000000003"/>
    <s v="New"/>
    <n v="0.24"/>
    <s v="Credit Card"/>
    <s v="Retail"/>
    <s v="East-David"/>
    <n v="201692.51"/>
    <n v="218956.08000000002"/>
    <n v="17263.570000000007"/>
  </r>
  <r>
    <n v="1062"/>
    <d v="2023-11-06T00:00:00"/>
    <s v="David"/>
    <s v="East"/>
    <n v="2605.71"/>
    <n v="25"/>
    <x v="1"/>
    <n v="2361.0500000000002"/>
    <n v="2616.19"/>
    <s v="New"/>
    <n v="0.3"/>
    <s v="Bank Transfer"/>
    <s v="Retail"/>
    <s v="East-David"/>
    <n v="59026.250000000007"/>
    <n v="65404.75"/>
    <n v="6378.4999999999927"/>
  </r>
  <r>
    <n v="1022"/>
    <d v="2023-12-29T00:00:00"/>
    <s v="David"/>
    <s v="North"/>
    <n v="4557.5200000000004"/>
    <n v="10"/>
    <x v="0"/>
    <n v="1830.61"/>
    <n v="2044.04"/>
    <s v="New"/>
    <n v="0.11"/>
    <s v="Cash"/>
    <s v="Online"/>
    <s v="North-David"/>
    <n v="18306.099999999999"/>
    <n v="20440.400000000001"/>
    <n v="2134.3000000000029"/>
  </r>
  <r>
    <n v="1058"/>
    <d v="2023-07-12T00:00:00"/>
    <s v="Eve"/>
    <s v="East"/>
    <n v="9580.0499999999993"/>
    <n v="14"/>
    <x v="3"/>
    <n v="2703.97"/>
    <n v="2796.8799999999901"/>
    <s v="New"/>
    <n v="0.13"/>
    <s v="Bank Transfer"/>
    <s v="Online"/>
    <s v="East-Eve"/>
    <n v="37855.579999999994"/>
    <n v="39156.319999999861"/>
    <n v="1300.739999999867"/>
  </r>
  <r>
    <n v="1058"/>
    <d v="2023-11-03T00:00:00"/>
    <s v="David"/>
    <s v="West"/>
    <n v="4050.45"/>
    <n v="42"/>
    <x v="2"/>
    <n v="3600.95"/>
    <n v="3702.8399999999901"/>
    <s v="Returning"/>
    <n v="0.01"/>
    <s v="Cash"/>
    <s v="Retail"/>
    <s v="West-David"/>
    <n v="151239.9"/>
    <n v="155519.27999999959"/>
    <n v="4279.3799999995972"/>
  </r>
  <r>
    <n v="1086"/>
    <d v="2023-06-30T00:00:00"/>
    <s v="Bob"/>
    <s v="North"/>
    <n v="8414.0400000000009"/>
    <n v="46"/>
    <x v="2"/>
    <n v="2245.64"/>
    <n v="2260.81"/>
    <s v="New"/>
    <n v="0"/>
    <s v="Cash"/>
    <s v="Retail"/>
    <s v="North-Bob"/>
    <n v="103299.43999999999"/>
    <n v="103997.26"/>
    <n v="697.82000000000698"/>
  </r>
  <r>
    <n v="1049"/>
    <d v="2023-10-19T00:00:00"/>
    <s v="Eve"/>
    <s v="South"/>
    <n v="1966.55"/>
    <n v="30"/>
    <x v="2"/>
    <n v="4697.4399999999996"/>
    <n v="4752.24"/>
    <s v="New"/>
    <n v="0.28000000000000003"/>
    <s v="Credit Card"/>
    <s v="Online"/>
    <s v="South-Eve"/>
    <n v="140923.19999999998"/>
    <n v="142567.19999999998"/>
    <n v="1644"/>
  </r>
  <r>
    <n v="1052"/>
    <d v="2023-10-09T00:00:00"/>
    <s v="David"/>
    <s v="West"/>
    <n v="6757.36"/>
    <n v="41"/>
    <x v="3"/>
    <n v="1509.98"/>
    <n v="1792.83"/>
    <s v="New"/>
    <n v="0.04"/>
    <s v="Cash"/>
    <s v="Retail"/>
    <s v="West-David"/>
    <n v="61909.18"/>
    <n v="73506.03"/>
    <n v="11596.849999999999"/>
  </r>
  <r>
    <n v="1042"/>
    <d v="2023-01-29T00:00:00"/>
    <s v="Eve"/>
    <s v="North"/>
    <n v="9772.3700000000008"/>
    <n v="25"/>
    <x v="1"/>
    <n v="2403.54"/>
    <n v="2850.56"/>
    <s v="New"/>
    <n v="0.13"/>
    <s v="Bank Transfer"/>
    <s v="Online"/>
    <s v="North-Eve"/>
    <n v="60088.5"/>
    <n v="71264"/>
    <n v="11175.5"/>
  </r>
  <r>
    <n v="1070"/>
    <d v="2023-05-29T00:00:00"/>
    <s v="Charlie"/>
    <s v="South"/>
    <n v="1108.74"/>
    <n v="14"/>
    <x v="0"/>
    <n v="3796.79"/>
    <n v="3947.5"/>
    <s v="Returning"/>
    <n v="0.24"/>
    <s v="Bank Transfer"/>
    <s v="Online"/>
    <s v="South-Charlie"/>
    <n v="53155.06"/>
    <n v="55265"/>
    <n v="2109.9400000000023"/>
  </r>
  <r>
    <n v="1015"/>
    <d v="2023-09-24T00:00:00"/>
    <s v="Bob"/>
    <s v="East"/>
    <n v="182.37"/>
    <n v="35"/>
    <x v="2"/>
    <n v="3461.15"/>
    <n v="3631.75"/>
    <s v="Returning"/>
    <n v="0.27"/>
    <s v="Credit Card"/>
    <s v="Online"/>
    <s v="East-Bob"/>
    <n v="121140.25"/>
    <n v="127111.25"/>
    <n v="5971"/>
  </r>
  <r>
    <n v="1054"/>
    <d v="2023-10-23T00:00:00"/>
    <s v="David"/>
    <s v="South"/>
    <n v="4392.47"/>
    <n v="48"/>
    <x v="3"/>
    <n v="4325.0200000000004"/>
    <n v="4391.67"/>
    <s v="Returning"/>
    <n v="0.16"/>
    <s v="Credit Card"/>
    <s v="Retail"/>
    <s v="South-David"/>
    <n v="207600.96000000002"/>
    <n v="210800.16"/>
    <n v="3199.1999999999825"/>
  </r>
  <r>
    <n v="1060"/>
    <d v="2023-01-11T00:00:00"/>
    <s v="Charlie"/>
    <s v="West"/>
    <n v="1016.99"/>
    <n v="34"/>
    <x v="3"/>
    <n v="4984.21"/>
    <n v="5184.6400000000003"/>
    <s v="New"/>
    <n v="0.17"/>
    <s v="Cash"/>
    <s v="Online"/>
    <s v="West-Charlie"/>
    <n v="169463.14"/>
    <n v="176277.76000000001"/>
    <n v="6814.6199999999953"/>
  </r>
  <r>
    <n v="1097"/>
    <d v="2023-06-13T00:00:00"/>
    <s v="Charlie"/>
    <s v="East"/>
    <n v="7509.01"/>
    <n v="10"/>
    <x v="0"/>
    <n v="2162.9499999999998"/>
    <n v="2191.1899999999901"/>
    <s v="Returning"/>
    <n v="0.2"/>
    <s v="Credit Card"/>
    <s v="Online"/>
    <s v="East-Charlie"/>
    <n v="21629.5"/>
    <n v="21911.8999999999"/>
    <n v="282.39999999989959"/>
  </r>
  <r>
    <n v="1008"/>
    <d v="2023-04-23T00:00:00"/>
    <s v="Eve"/>
    <s v="North"/>
    <n v="9154.0300000000007"/>
    <n v="35"/>
    <x v="2"/>
    <n v="600.20000000000005"/>
    <n v="1059.82"/>
    <s v="Returning"/>
    <n v="0.28999999999999998"/>
    <s v="Bank Transfer"/>
    <s v="Retail"/>
    <s v="North-Eve"/>
    <n v="21007"/>
    <n v="37093.699999999997"/>
    <n v="16086.699999999997"/>
  </r>
  <r>
    <n v="1053"/>
    <d v="2023-07-06T00:00:00"/>
    <s v="Charlie"/>
    <s v="East"/>
    <n v="4396.8100000000004"/>
    <n v="11"/>
    <x v="3"/>
    <n v="200.56"/>
    <n v="540.38"/>
    <s v="New"/>
    <n v="0.18"/>
    <s v="Bank Transfer"/>
    <s v="Online"/>
    <s v="East-Charlie"/>
    <n v="2206.16"/>
    <n v="5944.18"/>
    <n v="3738.0200000000004"/>
  </r>
  <r>
    <n v="1060"/>
    <d v="2023-10-22T00:00:00"/>
    <s v="Bob"/>
    <s v="North"/>
    <n v="2661.25"/>
    <n v="11"/>
    <x v="0"/>
    <n v="3648.04"/>
    <n v="4143.51"/>
    <s v="Returning"/>
    <n v="0.17"/>
    <s v="Credit Card"/>
    <s v="Retail"/>
    <s v="North-Bob"/>
    <n v="40128.44"/>
    <n v="45578.61"/>
    <n v="5450.1699999999983"/>
  </r>
  <r>
    <n v="1005"/>
    <d v="2023-08-20T00:00:00"/>
    <s v="Bob"/>
    <s v="North"/>
    <n v="4400.59"/>
    <n v="21"/>
    <x v="1"/>
    <n v="4376.37"/>
    <n v="4818.95"/>
    <s v="New"/>
    <n v="0"/>
    <s v="Credit Card"/>
    <s v="Retail"/>
    <s v="North-Bob"/>
    <n v="91903.77"/>
    <n v="101197.95"/>
    <n v="9294.179999999993"/>
  </r>
  <r>
    <n v="1068"/>
    <d v="2023-08-15T00:00:00"/>
    <s v="Alice"/>
    <s v="South"/>
    <n v="7262.13"/>
    <n v="21"/>
    <x v="1"/>
    <n v="1142.53"/>
    <n v="1384.3"/>
    <s v="Returning"/>
    <n v="0.02"/>
    <s v="Credit Card"/>
    <s v="Retail"/>
    <s v="South-Alice"/>
    <n v="23993.13"/>
    <n v="29070.3"/>
    <n v="5077.1699999999983"/>
  </r>
  <r>
    <n v="1006"/>
    <d v="2023-11-06T00:00:00"/>
    <s v="Bob"/>
    <s v="South"/>
    <n v="189.64"/>
    <n v="22"/>
    <x v="1"/>
    <n v="834.32"/>
    <n v="1098.97"/>
    <s v="Returning"/>
    <n v="0.17"/>
    <s v="Cash"/>
    <s v="Online"/>
    <s v="South-Bob"/>
    <n v="18355.04"/>
    <n v="24177.34"/>
    <n v="5822.2999999999993"/>
  </r>
  <r>
    <n v="1096"/>
    <d v="2023-04-08T00:00:00"/>
    <s v="Charlie"/>
    <s v="South"/>
    <n v="5935.59"/>
    <n v="45"/>
    <x v="2"/>
    <n v="357.92"/>
    <n v="461.3"/>
    <s v="Returning"/>
    <n v="0.28000000000000003"/>
    <s v="Cash"/>
    <s v="Online"/>
    <s v="South-Charlie"/>
    <n v="16106.400000000001"/>
    <n v="20758.5"/>
    <n v="4652.0999999999985"/>
  </r>
  <r>
    <n v="1094"/>
    <d v="2023-02-24T00:00:00"/>
    <s v="Bob"/>
    <s v="West"/>
    <n v="6171.59"/>
    <n v="7"/>
    <x v="0"/>
    <n v="4122.38"/>
    <n v="4358.78"/>
    <s v="Returning"/>
    <n v="0.26"/>
    <s v="Bank Transfer"/>
    <s v="Retail"/>
    <s v="West-Bob"/>
    <n v="28856.66"/>
    <n v="30511.46"/>
    <n v="1654.7999999999993"/>
  </r>
  <r>
    <n v="1047"/>
    <d v="2023-04-21T00:00:00"/>
    <s v="Eve"/>
    <s v="West"/>
    <n v="6413.11"/>
    <n v="17"/>
    <x v="0"/>
    <n v="1591.34"/>
    <n v="2043.82"/>
    <s v="New"/>
    <n v="0.28999999999999998"/>
    <s v="Cash"/>
    <s v="Retail"/>
    <s v="West-Eve"/>
    <n v="27052.78"/>
    <n v="34744.94"/>
    <n v="7692.1600000000035"/>
  </r>
  <r>
    <n v="1099"/>
    <d v="2023-06-01T00:00:00"/>
    <s v="Alice"/>
    <s v="South"/>
    <n v="2496.02"/>
    <n v="2"/>
    <x v="3"/>
    <n v="2038.4"/>
    <n v="2073.3200000000002"/>
    <s v="New"/>
    <n v="0.16"/>
    <s v="Cash"/>
    <s v="Retail"/>
    <s v="South-Alice"/>
    <n v="4076.8"/>
    <n v="4146.6400000000003"/>
    <n v="69.840000000000146"/>
  </r>
  <r>
    <n v="1055"/>
    <d v="2023-09-03T00:00:00"/>
    <s v="Charlie"/>
    <s v="West"/>
    <n v="7169.12"/>
    <n v="12"/>
    <x v="3"/>
    <n v="2538.61"/>
    <n v="2971.75"/>
    <s v="Returning"/>
    <n v="0.24"/>
    <s v="Cash"/>
    <s v="Online"/>
    <s v="West-Charlie"/>
    <n v="30463.32"/>
    <n v="35661"/>
    <n v="5197.68"/>
  </r>
  <r>
    <n v="1040"/>
    <d v="2023-03-10T00:00:00"/>
    <s v="Alice"/>
    <s v="East"/>
    <n v="1004.78"/>
    <n v="42"/>
    <x v="3"/>
    <n v="4205.29"/>
    <n v="4382.3500000000004"/>
    <s v="New"/>
    <n v="0.25"/>
    <s v="Cash"/>
    <s v="Retail"/>
    <s v="East-Alice"/>
    <n v="176622.18"/>
    <n v="184058.7"/>
    <n v="7436.5200000000186"/>
  </r>
  <r>
    <n v="1052"/>
    <d v="2023-11-08T00:00:00"/>
    <s v="Charlie"/>
    <s v="East"/>
    <n v="2072.7800000000002"/>
    <n v="18"/>
    <x v="0"/>
    <n v="3271.62"/>
    <n v="3722.38"/>
    <s v="Returning"/>
    <n v="0.19"/>
    <s v="Bank Transfer"/>
    <s v="Retail"/>
    <s v="East-Charlie"/>
    <n v="58889.159999999996"/>
    <n v="67002.84"/>
    <n v="8113.68"/>
  </r>
  <r>
    <n v="1016"/>
    <d v="2023-10-16T00:00:00"/>
    <s v="Eve"/>
    <s v="West"/>
    <n v="8786.9500000000007"/>
    <n v="11"/>
    <x v="3"/>
    <n v="3094.57"/>
    <n v="3565.6"/>
    <s v="Returning"/>
    <n v="0.1"/>
    <s v="Credit Card"/>
    <s v="Retail"/>
    <s v="West-Eve"/>
    <n v="34040.270000000004"/>
    <n v="39221.599999999999"/>
    <n v="5181.3299999999945"/>
  </r>
  <r>
    <n v="1013"/>
    <d v="2023-09-07T00:00:00"/>
    <s v="Alice"/>
    <s v="West"/>
    <n v="7413.36"/>
    <n v="16"/>
    <x v="0"/>
    <n v="919.58"/>
    <n v="1258.3"/>
    <s v="Returning"/>
    <n v="0.14000000000000001"/>
    <s v="Bank Transfer"/>
    <s v="Online"/>
    <s v="West-Alice"/>
    <n v="14713.28"/>
    <n v="20132.8"/>
    <n v="5419.5199999999986"/>
  </r>
  <r>
    <n v="1030"/>
    <d v="2023-02-05T00:00:00"/>
    <s v="David"/>
    <s v="East"/>
    <n v="236.08"/>
    <n v="49"/>
    <x v="0"/>
    <n v="2590.29"/>
    <n v="2925.86"/>
    <s v="Returning"/>
    <n v="0.26"/>
    <s v="Cash"/>
    <s v="Retail"/>
    <s v="East-David"/>
    <n v="126924.20999999999"/>
    <n v="143367.14000000001"/>
    <n v="16442.930000000022"/>
  </r>
  <r>
    <n v="1019"/>
    <d v="2023-08-27T00:00:00"/>
    <s v="Charlie"/>
    <s v="North"/>
    <n v="2558.92"/>
    <n v="18"/>
    <x v="1"/>
    <n v="3591.14"/>
    <n v="3822.99"/>
    <s v="Returning"/>
    <n v="0.09"/>
    <s v="Credit Card"/>
    <s v="Online"/>
    <s v="North-Charlie"/>
    <n v="64640.52"/>
    <n v="68813.819999999992"/>
    <n v="4173.2999999999956"/>
  </r>
  <r>
    <n v="1017"/>
    <d v="2023-05-28T00:00:00"/>
    <s v="David"/>
    <s v="East"/>
    <n v="2222.62"/>
    <n v="35"/>
    <x v="3"/>
    <n v="4867.6400000000003"/>
    <n v="5287.05"/>
    <s v="Returning"/>
    <n v="0.28000000000000003"/>
    <s v="Credit Card"/>
    <s v="Online"/>
    <s v="East-David"/>
    <n v="170367.40000000002"/>
    <n v="185046.75"/>
    <n v="14679.349999999977"/>
  </r>
  <r>
    <n v="1063"/>
    <d v="2023-08-15T00:00:00"/>
    <s v="Alice"/>
    <s v="East"/>
    <n v="2780.98"/>
    <n v="26"/>
    <x v="1"/>
    <n v="1046.96"/>
    <n v="1528.15"/>
    <s v="New"/>
    <n v="7.0000000000000007E-2"/>
    <s v="Credit Card"/>
    <s v="Retail"/>
    <s v="East-Alice"/>
    <n v="27220.959999999999"/>
    <n v="39731.9"/>
    <n v="12510.940000000002"/>
  </r>
  <r>
    <n v="1019"/>
    <d v="2023-09-01T00:00:00"/>
    <s v="David"/>
    <s v="West"/>
    <n v="2550.84"/>
    <n v="16"/>
    <x v="2"/>
    <n v="97.24"/>
    <n v="487.03"/>
    <s v="New"/>
    <n v="0.22"/>
    <s v="Bank Transfer"/>
    <s v="Retail"/>
    <s v="West-David"/>
    <n v="1555.84"/>
    <n v="7792.48"/>
    <n v="6236.6399999999994"/>
  </r>
  <r>
    <n v="1092"/>
    <d v="2023-12-03T00:00:00"/>
    <s v="David"/>
    <s v="East"/>
    <n v="719.01"/>
    <n v="6"/>
    <x v="2"/>
    <n v="422.74"/>
    <n v="737.49"/>
    <s v="Returning"/>
    <n v="0.19"/>
    <s v="Credit Card"/>
    <s v="Retail"/>
    <s v="East-David"/>
    <n v="2536.44"/>
    <n v="4424.9400000000005"/>
    <n v="1888.5000000000005"/>
  </r>
  <r>
    <n v="1058"/>
    <d v="2023-12-31T00:00:00"/>
    <s v="Alice"/>
    <s v="West"/>
    <n v="4643.51"/>
    <n v="44"/>
    <x v="2"/>
    <n v="1910.47"/>
    <n v="2217.8000000000002"/>
    <s v="New"/>
    <n v="0.22"/>
    <s v="Bank Transfer"/>
    <s v="Online"/>
    <s v="West-Alice"/>
    <n v="84060.680000000008"/>
    <n v="97583.200000000012"/>
    <n v="13522.520000000004"/>
  </r>
  <r>
    <n v="1055"/>
    <d v="2023-07-20T00:00:00"/>
    <s v="Eve"/>
    <s v="West"/>
    <n v="7354.06"/>
    <n v="43"/>
    <x v="0"/>
    <n v="4111.7"/>
    <n v="4537.9399999999996"/>
    <s v="Returning"/>
    <n v="0.13"/>
    <s v="Bank Transfer"/>
    <s v="Online"/>
    <s v="West-Eve"/>
    <n v="176803.1"/>
    <n v="195131.41999999998"/>
    <n v="18328.319999999978"/>
  </r>
  <r>
    <n v="1090"/>
    <d v="2023-06-03T00:00:00"/>
    <s v="David"/>
    <s v="South"/>
    <n v="6106.64"/>
    <n v="47"/>
    <x v="0"/>
    <n v="85.35"/>
    <n v="360.539999999999"/>
    <s v="New"/>
    <n v="0.28000000000000003"/>
    <s v="Cash"/>
    <s v="Online"/>
    <s v="South-David"/>
    <n v="4011.45"/>
    <n v="16945.379999999954"/>
    <n v="12933.929999999953"/>
  </r>
  <r>
    <n v="1090"/>
    <d v="2023-03-14T00:00:00"/>
    <s v="David"/>
    <s v="East"/>
    <n v="6761.43"/>
    <n v="47"/>
    <x v="0"/>
    <n v="2310.8200000000002"/>
    <n v="2714.71"/>
    <s v="New"/>
    <n v="0.19"/>
    <s v="Cash"/>
    <s v="Retail"/>
    <s v="East-David"/>
    <n v="108608.54000000001"/>
    <n v="127591.37"/>
    <n v="18982.829999999987"/>
  </r>
  <r>
    <n v="1062"/>
    <d v="2023-07-20T00:00:00"/>
    <s v="Eve"/>
    <s v="North"/>
    <n v="903.38"/>
    <n v="48"/>
    <x v="3"/>
    <n v="1679.69"/>
    <n v="1939.04"/>
    <s v="New"/>
    <n v="0.09"/>
    <s v="Credit Card"/>
    <s v="Online"/>
    <s v="North-Eve"/>
    <n v="80625.119999999995"/>
    <n v="93073.919999999998"/>
    <n v="12448.800000000003"/>
  </r>
  <r>
    <n v="1023"/>
    <d v="2023-10-23T00:00:00"/>
    <s v="David"/>
    <s v="South"/>
    <n v="9519.76"/>
    <n v="42"/>
    <x v="1"/>
    <n v="309.77999999999997"/>
    <n v="350.38"/>
    <s v="Returning"/>
    <n v="0.19"/>
    <s v="Credit Card"/>
    <s v="Retail"/>
    <s v="South-David"/>
    <n v="13010.759999999998"/>
    <n v="14715.96"/>
    <n v="1705.2000000000007"/>
  </r>
  <r>
    <n v="1009"/>
    <d v="2023-01-17T00:00:00"/>
    <s v="David"/>
    <s v="West"/>
    <n v="8401.07"/>
    <n v="12"/>
    <x v="0"/>
    <n v="2278.67"/>
    <n v="2476.8000000000002"/>
    <s v="New"/>
    <n v="0.09"/>
    <s v="Cash"/>
    <s v="Retail"/>
    <s v="West-David"/>
    <n v="27344.04"/>
    <n v="29721.600000000002"/>
    <n v="2377.5600000000013"/>
  </r>
  <r>
    <n v="1012"/>
    <d v="2023-05-09T00:00:00"/>
    <s v="David"/>
    <s v="West"/>
    <n v="8070.39"/>
    <n v="13"/>
    <x v="1"/>
    <n v="1311.01"/>
    <n v="1538.79"/>
    <s v="Returning"/>
    <n v="0.09"/>
    <s v="Bank Transfer"/>
    <s v="Retail"/>
    <s v="West-David"/>
    <n v="17043.13"/>
    <n v="20004.27"/>
    <n v="2961.1399999999994"/>
  </r>
  <r>
    <n v="1001"/>
    <d v="2023-08-05T00:00:00"/>
    <s v="Bob"/>
    <s v="North"/>
    <n v="8247.5400000000009"/>
    <n v="4"/>
    <x v="1"/>
    <n v="1791.83"/>
    <n v="1871.22"/>
    <s v="Returning"/>
    <n v="0.12"/>
    <s v="Bank Transfer"/>
    <s v="Online"/>
    <s v="North-Bob"/>
    <n v="7167.32"/>
    <n v="7484.88"/>
    <n v="317.5600000000004"/>
  </r>
  <r>
    <n v="1058"/>
    <d v="2023-03-02T00:00:00"/>
    <s v="Eve"/>
    <s v="West"/>
    <n v="9333.83"/>
    <n v="39"/>
    <x v="1"/>
    <n v="3542.8"/>
    <n v="3603.02"/>
    <s v="Returning"/>
    <n v="0.26"/>
    <s v="Cash"/>
    <s v="Online"/>
    <s v="West-Eve"/>
    <n v="138169.20000000001"/>
    <n v="140517.78"/>
    <n v="2348.5799999999872"/>
  </r>
  <r>
    <n v="1001"/>
    <d v="2023-04-14T00:00:00"/>
    <s v="David"/>
    <s v="East"/>
    <n v="5488.11"/>
    <n v="2"/>
    <x v="3"/>
    <n v="2631.68"/>
    <n v="2904.06"/>
    <s v="New"/>
    <n v="0.15"/>
    <s v="Bank Transfer"/>
    <s v="Online"/>
    <s v="East-David"/>
    <n v="5263.36"/>
    <n v="5808.12"/>
    <n v="544.76000000000022"/>
  </r>
  <r>
    <n v="1034"/>
    <d v="2023-02-11T00:00:00"/>
    <s v="Eve"/>
    <s v="South"/>
    <n v="2082.79"/>
    <n v="26"/>
    <x v="3"/>
    <n v="667"/>
    <n v="718.72"/>
    <s v="New"/>
    <n v="0.2"/>
    <s v="Cash"/>
    <s v="Retail"/>
    <s v="South-Eve"/>
    <n v="17342"/>
    <n v="18686.72"/>
    <n v="1344.7200000000012"/>
  </r>
  <r>
    <n v="1096"/>
    <d v="2023-01-25T00:00:00"/>
    <s v="Charlie"/>
    <s v="West"/>
    <n v="6206.16"/>
    <n v="27"/>
    <x v="2"/>
    <n v="4809"/>
    <n v="4967.4399999999996"/>
    <s v="New"/>
    <n v="0.12"/>
    <s v="Cash"/>
    <s v="Online"/>
    <s v="West-Charlie"/>
    <n v="129843"/>
    <n v="134120.87999999998"/>
    <n v="4277.8799999999756"/>
  </r>
  <r>
    <n v="1048"/>
    <d v="2023-02-08T00:00:00"/>
    <s v="Charlie"/>
    <s v="West"/>
    <n v="7454.53"/>
    <n v="27"/>
    <x v="2"/>
    <n v="3197.76"/>
    <n v="3572.61"/>
    <s v="Returning"/>
    <n v="0.08"/>
    <s v="Credit Card"/>
    <s v="Online"/>
    <s v="West-Charlie"/>
    <n v="86339.520000000004"/>
    <n v="96460.47"/>
    <n v="10120.949999999997"/>
  </r>
  <r>
    <n v="1089"/>
    <d v="2023-10-18T00:00:00"/>
    <s v="David"/>
    <s v="North"/>
    <n v="7405.38"/>
    <n v="15"/>
    <x v="1"/>
    <n v="3841.05"/>
    <n v="4323.62"/>
    <s v="Returning"/>
    <n v="0.28999999999999998"/>
    <s v="Credit Card"/>
    <s v="Retail"/>
    <s v="North-David"/>
    <n v="57615.75"/>
    <n v="64854.299999999996"/>
    <n v="7238.5499999999956"/>
  </r>
  <r>
    <n v="1001"/>
    <d v="2023-05-11T00:00:00"/>
    <s v="Eve"/>
    <s v="East"/>
    <n v="5262.35"/>
    <n v="8"/>
    <x v="2"/>
    <n v="442.11"/>
    <n v="803.87"/>
    <s v="New"/>
    <n v="0.18"/>
    <s v="Cash"/>
    <s v="Retail"/>
    <s v="East-Eve"/>
    <n v="3536.88"/>
    <n v="6430.96"/>
    <n v="2894.08"/>
  </r>
  <r>
    <n v="1016"/>
    <d v="2023-08-17T00:00:00"/>
    <s v="Eve"/>
    <s v="West"/>
    <n v="777.74"/>
    <n v="7"/>
    <x v="1"/>
    <n v="282.94"/>
    <n v="779.32999999999902"/>
    <s v="Returning"/>
    <n v="0.28000000000000003"/>
    <s v="Credit Card"/>
    <s v="Online"/>
    <s v="West-Eve"/>
    <n v="1980.58"/>
    <n v="5455.3099999999931"/>
    <n v="3474.7299999999932"/>
  </r>
  <r>
    <n v="1061"/>
    <d v="2023-04-18T00:00:00"/>
    <s v="Eve"/>
    <s v="North"/>
    <n v="3774.02"/>
    <n v="47"/>
    <x v="3"/>
    <n v="146.27000000000001"/>
    <n v="498.46"/>
    <s v="New"/>
    <n v="0.06"/>
    <s v="Cash"/>
    <s v="Retail"/>
    <s v="North-Eve"/>
    <n v="6874.6900000000005"/>
    <n v="23427.62"/>
    <n v="16552.93"/>
  </r>
  <r>
    <n v="1064"/>
    <d v="2023-06-21T00:00:00"/>
    <s v="Bob"/>
    <s v="West"/>
    <n v="9215.59"/>
    <n v="46"/>
    <x v="3"/>
    <n v="984.53"/>
    <n v="1138.49"/>
    <s v="New"/>
    <n v="0.04"/>
    <s v="Bank Transfer"/>
    <s v="Online"/>
    <s v="West-Bob"/>
    <n v="45288.38"/>
    <n v="52370.54"/>
    <n v="7082.1600000000035"/>
  </r>
  <r>
    <n v="1063"/>
    <d v="2023-04-12T00:00:00"/>
    <s v="Charlie"/>
    <s v="North"/>
    <n v="5886.04"/>
    <n v="40"/>
    <x v="3"/>
    <n v="2101.3200000000002"/>
    <n v="2440.63"/>
    <s v="New"/>
    <n v="0.26"/>
    <s v="Bank Transfer"/>
    <s v="Retail"/>
    <s v="North-Charlie"/>
    <n v="84052.800000000003"/>
    <n v="97625.200000000012"/>
    <n v="13572.400000000009"/>
  </r>
  <r>
    <n v="1069"/>
    <d v="2023-12-20T00:00:00"/>
    <s v="Eve"/>
    <s v="North"/>
    <n v="5429.49"/>
    <n v="12"/>
    <x v="0"/>
    <n v="4682.34"/>
    <n v="5036.3999999999996"/>
    <s v="New"/>
    <n v="0.2"/>
    <s v="Bank Transfer"/>
    <s v="Retail"/>
    <s v="North-Eve"/>
    <n v="56188.08"/>
    <n v="60436.799999999996"/>
    <n v="4248.7199999999939"/>
  </r>
  <r>
    <n v="1022"/>
    <d v="2023-01-12T00:00:00"/>
    <s v="Eve"/>
    <s v="East"/>
    <n v="2761.65"/>
    <n v="13"/>
    <x v="1"/>
    <n v="2312.4499999999998"/>
    <n v="2504.6"/>
    <s v="Returning"/>
    <n v="0.06"/>
    <s v="Bank Transfer"/>
    <s v="Online"/>
    <s v="East-Eve"/>
    <n v="30061.85"/>
    <n v="32559.8"/>
    <n v="2497.9500000000007"/>
  </r>
  <r>
    <n v="1093"/>
    <d v="2023-10-02T00:00:00"/>
    <s v="Bob"/>
    <s v="West"/>
    <n v="3747.64"/>
    <n v="43"/>
    <x v="3"/>
    <n v="1486.76"/>
    <n v="1505.44"/>
    <s v="New"/>
    <n v="0.08"/>
    <s v="Cash"/>
    <s v="Retail"/>
    <s v="West-Bob"/>
    <n v="63930.68"/>
    <n v="64733.920000000006"/>
    <n v="803.24000000000524"/>
  </r>
  <r>
    <n v="1067"/>
    <d v="2023-04-11T00:00:00"/>
    <s v="Bob"/>
    <s v="East"/>
    <n v="8963.93"/>
    <n v="17"/>
    <x v="1"/>
    <n v="2831.58"/>
    <n v="3186.15"/>
    <s v="New"/>
    <n v="0.24"/>
    <s v="Bank Transfer"/>
    <s v="Retail"/>
    <s v="East-Bob"/>
    <n v="48136.86"/>
    <n v="54164.55"/>
    <n v="6027.6900000000023"/>
  </r>
  <r>
    <n v="1076"/>
    <d v="2023-02-13T00:00:00"/>
    <s v="Eve"/>
    <s v="North"/>
    <n v="6697.98"/>
    <n v="17"/>
    <x v="2"/>
    <n v="604.08000000000004"/>
    <n v="624.71"/>
    <s v="New"/>
    <n v="0.14000000000000001"/>
    <s v="Bank Transfer"/>
    <s v="Retail"/>
    <s v="North-Eve"/>
    <n v="10269.36"/>
    <n v="10620.07"/>
    <n v="350.70999999999913"/>
  </r>
  <r>
    <n v="1026"/>
    <d v="2023-11-01T00:00:00"/>
    <s v="Alice"/>
    <s v="South"/>
    <n v="7895.13"/>
    <n v="36"/>
    <x v="2"/>
    <n v="3067.05"/>
    <n v="3386.33"/>
    <s v="New"/>
    <n v="0.2"/>
    <s v="Bank Transfer"/>
    <s v="Online"/>
    <s v="South-Alice"/>
    <n v="110413.8"/>
    <n v="121907.88"/>
    <n v="11494.080000000002"/>
  </r>
  <r>
    <n v="1016"/>
    <d v="2023-01-17T00:00:00"/>
    <s v="Eve"/>
    <s v="West"/>
    <n v="4598.0200000000004"/>
    <n v="21"/>
    <x v="3"/>
    <n v="2863.74"/>
    <n v="2953.91"/>
    <s v="New"/>
    <n v="0.1"/>
    <s v="Bank Transfer"/>
    <s v="Retail"/>
    <s v="West-Eve"/>
    <n v="60138.539999999994"/>
    <n v="62032.11"/>
    <n v="1893.570000000007"/>
  </r>
  <r>
    <n v="1051"/>
    <d v="2023-11-26T00:00:00"/>
    <s v="Eve"/>
    <s v="South"/>
    <n v="6339.45"/>
    <n v="8"/>
    <x v="1"/>
    <n v="3970.37"/>
    <n v="4257.5199999999904"/>
    <s v="New"/>
    <n v="0.11"/>
    <s v="Cash"/>
    <s v="Retail"/>
    <s v="South-Eve"/>
    <n v="31762.959999999999"/>
    <n v="34060.159999999923"/>
    <n v="2297.1999999999243"/>
  </r>
  <r>
    <n v="1086"/>
    <d v="2023-02-26T00:00:00"/>
    <s v="Bob"/>
    <s v="West"/>
    <n v="2559"/>
    <n v="5"/>
    <x v="3"/>
    <n v="4934.1000000000004"/>
    <n v="5191.0200000000004"/>
    <s v="New"/>
    <n v="0.3"/>
    <s v="Bank Transfer"/>
    <s v="Online"/>
    <s v="West-Bob"/>
    <n v="24670.5"/>
    <n v="25955.100000000002"/>
    <n v="1284.6000000000022"/>
  </r>
  <r>
    <n v="1057"/>
    <d v="2023-11-07T00:00:00"/>
    <s v="Bob"/>
    <s v="East"/>
    <n v="7084.06"/>
    <n v="26"/>
    <x v="2"/>
    <n v="1291.82"/>
    <n v="1308.4399999999901"/>
    <s v="Returning"/>
    <n v="7.0000000000000007E-2"/>
    <s v="Credit Card"/>
    <s v="Online"/>
    <s v="East-Bob"/>
    <n v="33587.32"/>
    <n v="34019.43999999974"/>
    <n v="432.11999999974068"/>
  </r>
  <r>
    <n v="1029"/>
    <d v="2023-10-30T00:00:00"/>
    <s v="Eve"/>
    <s v="East"/>
    <n v="4333.25"/>
    <n v="16"/>
    <x v="3"/>
    <n v="2572.8000000000002"/>
    <n v="2760.6"/>
    <s v="Returning"/>
    <n v="0.15"/>
    <s v="Credit Card"/>
    <s v="Retail"/>
    <s v="East-Eve"/>
    <n v="41164.800000000003"/>
    <n v="44169.599999999999"/>
    <n v="3004.7999999999956"/>
  </r>
  <r>
    <n v="1078"/>
    <d v="2023-01-12T00:00:00"/>
    <s v="Eve"/>
    <s v="East"/>
    <n v="4481.2"/>
    <n v="36"/>
    <x v="1"/>
    <n v="4548.88"/>
    <n v="4853.41"/>
    <s v="Returning"/>
    <n v="0.25"/>
    <s v="Credit Card"/>
    <s v="Retail"/>
    <s v="East-Eve"/>
    <n v="163759.67999999999"/>
    <n v="174722.76"/>
    <n v="10963.080000000016"/>
  </r>
  <r>
    <n v="1092"/>
    <d v="2023-11-14T00:00:00"/>
    <s v="Eve"/>
    <s v="East"/>
    <n v="6528.29"/>
    <n v="28"/>
    <x v="2"/>
    <n v="3936.69"/>
    <n v="4362.51"/>
    <s v="Returning"/>
    <n v="7.0000000000000007E-2"/>
    <s v="Credit Card"/>
    <s v="Retail"/>
    <s v="East-Eve"/>
    <n v="110227.32"/>
    <n v="122150.28"/>
    <n v="11922.959999999992"/>
  </r>
  <r>
    <n v="1069"/>
    <d v="2023-03-21T00:00:00"/>
    <s v="Bob"/>
    <s v="East"/>
    <n v="9369.18"/>
    <n v="29"/>
    <x v="0"/>
    <n v="2462.66"/>
    <n v="2908.0899999999901"/>
    <s v="New"/>
    <n v="0.12"/>
    <s v="Credit Card"/>
    <s v="Online"/>
    <s v="East-Bob"/>
    <n v="71417.14"/>
    <n v="84334.60999999971"/>
    <n v="12917.46999999971"/>
  </r>
  <r>
    <n v="1047"/>
    <d v="2023-08-04T00:00:00"/>
    <s v="Eve"/>
    <s v="South"/>
    <n v="733.66"/>
    <n v="47"/>
    <x v="2"/>
    <n v="4729.59"/>
    <n v="4976.68"/>
    <s v="Returning"/>
    <n v="0.18"/>
    <s v="Credit Card"/>
    <s v="Retail"/>
    <s v="South-Eve"/>
    <n v="222290.73"/>
    <n v="233903.96000000002"/>
    <n v="11613.23000000001"/>
  </r>
  <r>
    <n v="1094"/>
    <d v="2023-12-05T00:00:00"/>
    <s v="Eve"/>
    <s v="East"/>
    <n v="8264.9599999999991"/>
    <n v="12"/>
    <x v="0"/>
    <n v="333.32"/>
    <n v="700.25"/>
    <s v="Returning"/>
    <n v="0.14000000000000001"/>
    <s v="Cash"/>
    <s v="Online"/>
    <s v="East-Eve"/>
    <n v="3999.84"/>
    <n v="8403"/>
    <n v="4403.16"/>
  </r>
  <r>
    <n v="1062"/>
    <d v="2023-09-21T00:00:00"/>
    <s v="David"/>
    <s v="North"/>
    <n v="2994.59"/>
    <n v="37"/>
    <x v="3"/>
    <n v="4658.4399999999996"/>
    <n v="4823.5"/>
    <s v="Returning"/>
    <n v="0.14000000000000001"/>
    <s v="Credit Card"/>
    <s v="Online"/>
    <s v="North-David"/>
    <n v="172362.28"/>
    <n v="178469.5"/>
    <n v="6107.2200000000012"/>
  </r>
  <r>
    <n v="1069"/>
    <d v="2023-05-29T00:00:00"/>
    <s v="Alice"/>
    <s v="North"/>
    <n v="4494.8"/>
    <n v="30"/>
    <x v="3"/>
    <n v="300.01"/>
    <n v="477.67999999999898"/>
    <s v="New"/>
    <n v="0.11"/>
    <s v="Bank Transfer"/>
    <s v="Retail"/>
    <s v="North-Alice"/>
    <n v="9000.2999999999993"/>
    <n v="14330.399999999969"/>
    <n v="5330.0999999999694"/>
  </r>
  <r>
    <n v="1076"/>
    <d v="2023-03-22T00:00:00"/>
    <s v="Charlie"/>
    <s v="South"/>
    <n v="316.94"/>
    <n v="23"/>
    <x v="1"/>
    <n v="2759.16"/>
    <n v="2864.45"/>
    <s v="Returning"/>
    <n v="0.18"/>
    <s v="Credit Card"/>
    <s v="Retail"/>
    <s v="South-Charlie"/>
    <n v="63460.679999999993"/>
    <n v="65882.349999999991"/>
    <n v="2421.6699999999983"/>
  </r>
  <r>
    <n v="1016"/>
    <d v="2023-08-03T00:00:00"/>
    <s v="Alice"/>
    <s v="West"/>
    <n v="3080.36"/>
    <n v="16"/>
    <x v="0"/>
    <n v="4457.68"/>
    <n v="4743.03"/>
    <s v="Returning"/>
    <n v="0.19"/>
    <s v="Cash"/>
    <s v="Online"/>
    <s v="West-Alice"/>
    <n v="71322.880000000005"/>
    <n v="75888.479999999996"/>
    <n v="4565.5999999999913"/>
  </r>
  <r>
    <n v="1090"/>
    <d v="2023-07-17T00:00:00"/>
    <s v="David"/>
    <s v="North"/>
    <n v="5076.05"/>
    <n v="14"/>
    <x v="3"/>
    <n v="1350.47"/>
    <n v="1514.61"/>
    <s v="New"/>
    <n v="0.2"/>
    <s v="Credit Card"/>
    <s v="Retail"/>
    <s v="North-David"/>
    <n v="18906.580000000002"/>
    <n v="21204.539999999997"/>
    <n v="2297.9599999999955"/>
  </r>
  <r>
    <n v="1090"/>
    <d v="2023-07-19T00:00:00"/>
    <s v="Charlie"/>
    <s v="West"/>
    <n v="656.14"/>
    <n v="10"/>
    <x v="0"/>
    <n v="2387.63"/>
    <n v="2438.9699999999998"/>
    <s v="Returning"/>
    <n v="0.02"/>
    <s v="Bank Transfer"/>
    <s v="Retail"/>
    <s v="West-Charlie"/>
    <n v="23876.300000000003"/>
    <n v="24389.699999999997"/>
    <n v="513.39999999999418"/>
  </r>
  <r>
    <n v="1048"/>
    <d v="2023-01-25T00:00:00"/>
    <s v="Eve"/>
    <s v="South"/>
    <n v="4961.8500000000004"/>
    <n v="7"/>
    <x v="3"/>
    <n v="1655.43"/>
    <n v="2001.08"/>
    <s v="New"/>
    <n v="0.19"/>
    <s v="Bank Transfer"/>
    <s v="Online"/>
    <s v="South-Eve"/>
    <n v="11588.01"/>
    <n v="14007.56"/>
    <n v="2419.5499999999993"/>
  </r>
  <r>
    <n v="1085"/>
    <d v="2023-03-30T00:00:00"/>
    <s v="David"/>
    <s v="West"/>
    <n v="9278.4"/>
    <n v="45"/>
    <x v="2"/>
    <n v="4763.1099999999997"/>
    <n v="5119.91"/>
    <s v="Returning"/>
    <n v="0.28999999999999998"/>
    <s v="Cash"/>
    <s v="Retail"/>
    <s v="West-David"/>
    <n v="214339.94999999998"/>
    <n v="230395.94999999998"/>
    <n v="16056"/>
  </r>
  <r>
    <n v="1039"/>
    <d v="2023-09-25T00:00:00"/>
    <s v="Eve"/>
    <s v="West"/>
    <n v="1143.3900000000001"/>
    <n v="37"/>
    <x v="3"/>
    <n v="4127.05"/>
    <n v="4313.45"/>
    <s v="New"/>
    <n v="0.16"/>
    <s v="Cash"/>
    <s v="Online"/>
    <s v="West-Eve"/>
    <n v="152700.85"/>
    <n v="159597.65"/>
    <n v="6896.7999999999884"/>
  </r>
  <r>
    <n v="1100"/>
    <d v="2023-05-23T00:00:00"/>
    <s v="Bob"/>
    <s v="West"/>
    <n v="7667.96"/>
    <n v="29"/>
    <x v="1"/>
    <n v="3559.56"/>
    <n v="3607.15"/>
    <s v="Returning"/>
    <n v="0.21"/>
    <s v="Cash"/>
    <s v="Retail"/>
    <s v="West-Bob"/>
    <n v="103227.24"/>
    <n v="104607.35"/>
    <n v="1380.1100000000006"/>
  </r>
  <r>
    <n v="1033"/>
    <d v="2023-02-28T00:00:00"/>
    <s v="David"/>
    <s v="West"/>
    <n v="4155.74"/>
    <n v="3"/>
    <x v="2"/>
    <n v="2958.75"/>
    <n v="3177.64"/>
    <s v="Returning"/>
    <n v="0.17"/>
    <s v="Cash"/>
    <s v="Online"/>
    <s v="West-David"/>
    <n v="8876.25"/>
    <n v="9532.92"/>
    <n v="656.67000000000007"/>
  </r>
  <r>
    <n v="1094"/>
    <d v="2023-12-31T00:00:00"/>
    <s v="Bob"/>
    <s v="South"/>
    <n v="6586.22"/>
    <n v="15"/>
    <x v="1"/>
    <n v="4111.93"/>
    <n v="4338.67"/>
    <s v="Returning"/>
    <n v="0.26"/>
    <s v="Credit Card"/>
    <s v="Online"/>
    <s v="South-Bob"/>
    <n v="61678.950000000004"/>
    <n v="65080.05"/>
    <n v="3401.0999999999985"/>
  </r>
  <r>
    <n v="1023"/>
    <d v="2023-01-26T00:00:00"/>
    <s v="David"/>
    <s v="North"/>
    <n v="2676.34"/>
    <n v="36"/>
    <x v="2"/>
    <n v="1991.72"/>
    <n v="2329.37"/>
    <s v="New"/>
    <n v="0.28000000000000003"/>
    <s v="Credit Card"/>
    <s v="Retail"/>
    <s v="North-David"/>
    <n v="71701.919999999998"/>
    <n v="83857.319999999992"/>
    <n v="12155.399999999994"/>
  </r>
  <r>
    <n v="1010"/>
    <d v="2023-02-16T00:00:00"/>
    <s v="David"/>
    <s v="East"/>
    <n v="1678.97"/>
    <n v="47"/>
    <x v="0"/>
    <n v="2265.38"/>
    <n v="2429.9299999999998"/>
    <s v="Returning"/>
    <n v="0.06"/>
    <s v="Bank Transfer"/>
    <s v="Online"/>
    <s v="East-David"/>
    <n v="106472.86"/>
    <n v="114206.70999999999"/>
    <n v="7733.8499999999913"/>
  </r>
  <r>
    <n v="1069"/>
    <d v="2023-10-15T00:00:00"/>
    <s v="Bob"/>
    <s v="West"/>
    <n v="1688.58"/>
    <n v="46"/>
    <x v="1"/>
    <n v="3663.51"/>
    <n v="4007.98"/>
    <s v="New"/>
    <n v="0.13"/>
    <s v="Cash"/>
    <s v="Online"/>
    <s v="West-Bob"/>
    <n v="168521.46000000002"/>
    <n v="184367.08"/>
    <n v="15845.619999999966"/>
  </r>
  <r>
    <n v="1100"/>
    <d v="2023-09-23T00:00:00"/>
    <s v="Charlie"/>
    <s v="North"/>
    <n v="797.87"/>
    <n v="19"/>
    <x v="3"/>
    <n v="1820.89"/>
    <n v="2257.92"/>
    <s v="New"/>
    <n v="0.12"/>
    <s v="Cash"/>
    <s v="Retail"/>
    <s v="North-Charlie"/>
    <n v="34596.910000000003"/>
    <n v="42900.480000000003"/>
    <n v="8303.57"/>
  </r>
  <r>
    <n v="1034"/>
    <d v="2023-01-16T00:00:00"/>
    <s v="Alice"/>
    <s v="North"/>
    <n v="1937.9"/>
    <n v="13"/>
    <x v="0"/>
    <n v="366.31"/>
    <n v="492.68"/>
    <s v="New"/>
    <n v="0.12"/>
    <s v="Credit Card"/>
    <s v="Retail"/>
    <s v="North-Alice"/>
    <n v="4762.03"/>
    <n v="6404.84"/>
    <n v="1642.8100000000004"/>
  </r>
  <r>
    <n v="1052"/>
    <d v="2023-07-18T00:00:00"/>
    <s v="Eve"/>
    <s v="South"/>
    <n v="6675.77"/>
    <n v="42"/>
    <x v="3"/>
    <n v="417.96"/>
    <n v="907.63"/>
    <s v="New"/>
    <n v="0.04"/>
    <s v="Cash"/>
    <s v="Retail"/>
    <s v="South-Eve"/>
    <n v="17554.32"/>
    <n v="38120.46"/>
    <n v="20566.14"/>
  </r>
  <r>
    <n v="1095"/>
    <d v="2023-10-09T00:00:00"/>
    <s v="David"/>
    <s v="North"/>
    <n v="8828.74"/>
    <n v="21"/>
    <x v="2"/>
    <n v="621.04999999999995"/>
    <n v="820.36999999999898"/>
    <s v="Returning"/>
    <n v="0.24"/>
    <s v="Bank Transfer"/>
    <s v="Online"/>
    <s v="North-David"/>
    <n v="13042.05"/>
    <n v="17227.769999999979"/>
    <n v="4185.7199999999793"/>
  </r>
  <r>
    <n v="1010"/>
    <d v="2023-03-27T00:00:00"/>
    <s v="Eve"/>
    <s v="South"/>
    <n v="8159.84"/>
    <n v="37"/>
    <x v="2"/>
    <n v="4354.92"/>
    <n v="4495.88"/>
    <s v="Returning"/>
    <n v="0.01"/>
    <s v="Bank Transfer"/>
    <s v="Online"/>
    <s v="South-Eve"/>
    <n v="161132.04"/>
    <n v="166347.56"/>
    <n v="5215.5199999999895"/>
  </r>
  <r>
    <n v="1019"/>
    <d v="2023-09-07T00:00:00"/>
    <s v="Bob"/>
    <s v="West"/>
    <n v="6882.83"/>
    <n v="27"/>
    <x v="3"/>
    <n v="2387.52"/>
    <n v="2604.06"/>
    <s v="Returning"/>
    <n v="0.16"/>
    <s v="Cash"/>
    <s v="Online"/>
    <s v="West-Bob"/>
    <n v="64463.040000000001"/>
    <n v="70309.62"/>
    <n v="5846.5799999999945"/>
  </r>
  <r>
    <n v="1058"/>
    <d v="2023-09-27T00:00:00"/>
    <s v="Eve"/>
    <s v="West"/>
    <n v="1193.28"/>
    <n v="29"/>
    <x v="3"/>
    <n v="3578.77"/>
    <n v="3635.02"/>
    <s v="New"/>
    <n v="0.2"/>
    <s v="Bank Transfer"/>
    <s v="Retail"/>
    <s v="West-Eve"/>
    <n v="103784.33"/>
    <n v="105415.58"/>
    <n v="1631.25"/>
  </r>
  <r>
    <n v="1096"/>
    <d v="2023-12-01T00:00:00"/>
    <s v="Bob"/>
    <s v="East"/>
    <n v="2962.96"/>
    <n v="20"/>
    <x v="0"/>
    <n v="1994.9"/>
    <n v="2066.5"/>
    <s v="Returning"/>
    <n v="0.06"/>
    <s v="Bank Transfer"/>
    <s v="Online"/>
    <s v="East-Bob"/>
    <n v="39898"/>
    <n v="41330"/>
    <n v="1432"/>
  </r>
  <r>
    <n v="1001"/>
    <d v="2023-04-27T00:00:00"/>
    <s v="Eve"/>
    <s v="East"/>
    <n v="3167.09"/>
    <n v="25"/>
    <x v="3"/>
    <n v="1330.62"/>
    <n v="1543.6899999999901"/>
    <s v="New"/>
    <n v="0.27"/>
    <s v="Credit Card"/>
    <s v="Online"/>
    <s v="East-Eve"/>
    <n v="33265.5"/>
    <n v="38592.249999999753"/>
    <n v="5326.7499999997526"/>
  </r>
  <r>
    <n v="1069"/>
    <d v="2023-01-07T00:00:00"/>
    <s v="Alice"/>
    <s v="East"/>
    <n v="2574.5700000000002"/>
    <n v="6"/>
    <x v="1"/>
    <n v="1768.6"/>
    <n v="2152.1999999999998"/>
    <s v="New"/>
    <n v="0.25"/>
    <s v="Bank Transfer"/>
    <s v="Retail"/>
    <s v="East-Alice"/>
    <n v="10611.599999999999"/>
    <n v="12913.199999999999"/>
    <n v="2301.6000000000004"/>
  </r>
  <r>
    <n v="1004"/>
    <d v="2023-05-17T00:00:00"/>
    <s v="Alice"/>
    <s v="North"/>
    <n v="5198.5600000000004"/>
    <n v="36"/>
    <x v="1"/>
    <n v="3981.2"/>
    <n v="4432.3499999999904"/>
    <s v="New"/>
    <n v="0.14000000000000001"/>
    <s v="Cash"/>
    <s v="Online"/>
    <s v="North-Alice"/>
    <n v="143323.19999999998"/>
    <n v="159564.59999999966"/>
    <n v="16241.399999999674"/>
  </r>
  <r>
    <n v="1016"/>
    <d v="2023-06-25T00:00:00"/>
    <s v="Alice"/>
    <s v="West"/>
    <n v="5401.98"/>
    <n v="2"/>
    <x v="3"/>
    <n v="3144.82"/>
    <n v="3480.58"/>
    <s v="Returning"/>
    <n v="0.12"/>
    <s v="Cash"/>
    <s v="Retail"/>
    <s v="West-Alice"/>
    <n v="6289.64"/>
    <n v="6961.16"/>
    <n v="671.51999999999953"/>
  </r>
  <r>
    <n v="1024"/>
    <d v="2023-11-24T00:00:00"/>
    <s v="Alice"/>
    <s v="South"/>
    <n v="3633.17"/>
    <n v="22"/>
    <x v="1"/>
    <n v="4691.32"/>
    <n v="4752.88"/>
    <s v="Returning"/>
    <n v="7.0000000000000007E-2"/>
    <s v="Bank Transfer"/>
    <s v="Retail"/>
    <s v="South-Alice"/>
    <n v="103209.04"/>
    <n v="104563.36"/>
    <n v="1354.320000000007"/>
  </r>
  <r>
    <n v="1080"/>
    <d v="2023-11-11T00:00:00"/>
    <s v="Alice"/>
    <s v="East"/>
    <n v="3602.51"/>
    <n v="32"/>
    <x v="3"/>
    <n v="3414.54"/>
    <n v="3753.83"/>
    <s v="New"/>
    <n v="0.22"/>
    <s v="Cash"/>
    <s v="Retail"/>
    <s v="East-Alice"/>
    <n v="109265.28"/>
    <n v="120122.56"/>
    <n v="10857.279999999999"/>
  </r>
  <r>
    <n v="1002"/>
    <d v="2023-08-03T00:00:00"/>
    <s v="Alice"/>
    <s v="South"/>
    <n v="8302.7000000000007"/>
    <n v="16"/>
    <x v="0"/>
    <n v="2872.4"/>
    <n v="3193.76"/>
    <s v="Returning"/>
    <n v="0.04"/>
    <s v="Credit Card"/>
    <s v="Online"/>
    <s v="South-Alice"/>
    <n v="45958.400000000001"/>
    <n v="51100.160000000003"/>
    <n v="5141.760000000002"/>
  </r>
  <r>
    <n v="1092"/>
    <d v="2023-03-23T00:00:00"/>
    <s v="Bob"/>
    <s v="South"/>
    <n v="7914"/>
    <n v="18"/>
    <x v="1"/>
    <n v="3070.47"/>
    <n v="3475.29"/>
    <s v="Returning"/>
    <n v="0.2"/>
    <s v="Bank Transfer"/>
    <s v="Online"/>
    <s v="South-Bob"/>
    <n v="55268.46"/>
    <n v="62555.22"/>
    <n v="7286.760000000002"/>
  </r>
  <r>
    <n v="1032"/>
    <d v="2023-08-11T00:00:00"/>
    <s v="David"/>
    <s v="East"/>
    <n v="3147.18"/>
    <n v="5"/>
    <x v="1"/>
    <n v="4714.74"/>
    <n v="5129.1099999999997"/>
    <s v="New"/>
    <n v="0.25"/>
    <s v="Bank Transfer"/>
    <s v="Online"/>
    <s v="East-David"/>
    <n v="23573.699999999997"/>
    <n v="25645.55"/>
    <n v="2071.8500000000022"/>
  </r>
  <r>
    <n v="1091"/>
    <d v="2023-04-13T00:00:00"/>
    <s v="Eve"/>
    <s v="West"/>
    <n v="9146.51"/>
    <n v="36"/>
    <x v="3"/>
    <n v="3951.59"/>
    <n v="4387.01"/>
    <s v="New"/>
    <n v="7.0000000000000007E-2"/>
    <s v="Bank Transfer"/>
    <s v="Retail"/>
    <s v="West-Eve"/>
    <n v="142257.24"/>
    <n v="157932.36000000002"/>
    <n v="15675.120000000024"/>
  </r>
  <r>
    <n v="1084"/>
    <d v="2023-09-30T00:00:00"/>
    <s v="Alice"/>
    <s v="East"/>
    <n v="9532.8700000000008"/>
    <n v="30"/>
    <x v="1"/>
    <n v="169"/>
    <n v="381.91999999999899"/>
    <s v="Returning"/>
    <n v="0.26"/>
    <s v="Cash"/>
    <s v="Retail"/>
    <s v="East-Alice"/>
    <n v="5070"/>
    <n v="11457.599999999969"/>
    <n v="6387.5999999999694"/>
  </r>
  <r>
    <n v="1024"/>
    <d v="2023-01-14T00:00:00"/>
    <s v="Bob"/>
    <s v="South"/>
    <n v="3334.75"/>
    <n v="45"/>
    <x v="2"/>
    <n v="2693.99"/>
    <n v="3045.9399999999901"/>
    <s v="New"/>
    <n v="0.01"/>
    <s v="Cash"/>
    <s v="Retail"/>
    <s v="South-Bob"/>
    <n v="121229.54999999999"/>
    <n v="137067.29999999955"/>
    <n v="15837.749999999563"/>
  </r>
  <r>
    <n v="1012"/>
    <d v="2023-06-08T00:00:00"/>
    <s v="Bob"/>
    <s v="East"/>
    <n v="3608.81"/>
    <n v="19"/>
    <x v="0"/>
    <n v="3457.28"/>
    <n v="3598.72"/>
    <s v="New"/>
    <n v="0.27"/>
    <s v="Bank Transfer"/>
    <s v="Online"/>
    <s v="East-Bob"/>
    <n v="65688.320000000007"/>
    <n v="68375.679999999993"/>
    <n v="2687.359999999986"/>
  </r>
  <r>
    <n v="1050"/>
    <d v="2023-06-01T00:00:00"/>
    <s v="Bob"/>
    <s v="South"/>
    <n v="5105.78"/>
    <n v="23"/>
    <x v="0"/>
    <n v="3756.06"/>
    <n v="4255.7299999999996"/>
    <s v="Returning"/>
    <n v="0.04"/>
    <s v="Cash"/>
    <s v="Online"/>
    <s v="South-Bob"/>
    <n v="86389.38"/>
    <n v="97881.79"/>
    <n v="11492.409999999989"/>
  </r>
  <r>
    <n v="1035"/>
    <d v="2023-04-18T00:00:00"/>
    <s v="David"/>
    <s v="South"/>
    <n v="9417.1"/>
    <n v="34"/>
    <x v="1"/>
    <n v="1105.05"/>
    <n v="1200.96"/>
    <s v="Returning"/>
    <n v="0.19"/>
    <s v="Cash"/>
    <s v="Online"/>
    <s v="South-David"/>
    <n v="37571.699999999997"/>
    <n v="40832.639999999999"/>
    <n v="3260.9400000000023"/>
  </r>
  <r>
    <n v="1033"/>
    <d v="2023-07-07T00:00:00"/>
    <s v="Eve"/>
    <s v="East"/>
    <n v="8775.56"/>
    <n v="13"/>
    <x v="1"/>
    <n v="4342.53"/>
    <n v="4357.49"/>
    <s v="New"/>
    <n v="0.08"/>
    <s v="Bank Transfer"/>
    <s v="Online"/>
    <s v="East-Eve"/>
    <n v="56452.89"/>
    <n v="56647.369999999995"/>
    <n v="194.47999999999593"/>
  </r>
  <r>
    <n v="1033"/>
    <d v="2023-10-28T00:00:00"/>
    <s v="David"/>
    <s v="North"/>
    <n v="1115.42"/>
    <n v="43"/>
    <x v="2"/>
    <n v="4781.42"/>
    <n v="4864.34"/>
    <s v="Returning"/>
    <n v="0.25"/>
    <s v="Bank Transfer"/>
    <s v="Online"/>
    <s v="North-David"/>
    <n v="205601.06"/>
    <n v="209166.62"/>
    <n v="3565.5599999999977"/>
  </r>
  <r>
    <n v="1061"/>
    <d v="2023-04-08T00:00:00"/>
    <s v="Charlie"/>
    <s v="East"/>
    <n v="3988.03"/>
    <n v="29"/>
    <x v="2"/>
    <n v="1221.74"/>
    <n v="1611.92"/>
    <s v="New"/>
    <n v="0.15"/>
    <s v="Cash"/>
    <s v="Retail"/>
    <s v="East-Charlie"/>
    <n v="35430.46"/>
    <n v="46745.68"/>
    <n v="11315.220000000001"/>
  </r>
  <r>
    <n v="1051"/>
    <d v="2023-05-11T00:00:00"/>
    <s v="Bob"/>
    <s v="North"/>
    <n v="5578.37"/>
    <n v="36"/>
    <x v="1"/>
    <n v="4418.95"/>
    <n v="4647.87"/>
    <s v="New"/>
    <n v="0.04"/>
    <s v="Bank Transfer"/>
    <s v="Online"/>
    <s v="North-Bob"/>
    <n v="159082.19999999998"/>
    <n v="167323.32"/>
    <n v="8241.1200000000244"/>
  </r>
  <r>
    <n v="1043"/>
    <d v="2023-10-20T00:00:00"/>
    <s v="Charlie"/>
    <s v="South"/>
    <n v="5081.01"/>
    <n v="22"/>
    <x v="1"/>
    <n v="530.04"/>
    <n v="759.31999999999903"/>
    <s v="Returning"/>
    <n v="0.17"/>
    <s v="Bank Transfer"/>
    <s v="Retail"/>
    <s v="South-Charlie"/>
    <n v="11660.88"/>
    <n v="16705.039999999979"/>
    <n v="5044.1599999999798"/>
  </r>
  <r>
    <n v="1012"/>
    <d v="2023-06-20T00:00:00"/>
    <s v="Alice"/>
    <s v="South"/>
    <n v="2019.24"/>
    <n v="47"/>
    <x v="2"/>
    <n v="325.75"/>
    <n v="803.71"/>
    <s v="New"/>
    <n v="0.12"/>
    <s v="Bank Transfer"/>
    <s v="Retail"/>
    <s v="South-Alice"/>
    <n v="15310.25"/>
    <n v="37774.370000000003"/>
    <n v="22464.120000000003"/>
  </r>
  <r>
    <n v="1067"/>
    <d v="2023-07-02T00:00:00"/>
    <s v="Alice"/>
    <s v="North"/>
    <n v="8602.2900000000009"/>
    <n v="36"/>
    <x v="3"/>
    <n v="689.66"/>
    <n v="1150.28"/>
    <s v="New"/>
    <n v="0.2"/>
    <s v="Bank Transfer"/>
    <s v="Online"/>
    <s v="North-Alice"/>
    <n v="24827.759999999998"/>
    <n v="41410.080000000002"/>
    <n v="16582.320000000003"/>
  </r>
  <r>
    <n v="1065"/>
    <d v="2023-12-30T00:00:00"/>
    <s v="David"/>
    <s v="South"/>
    <n v="6801.71"/>
    <n v="9"/>
    <x v="2"/>
    <n v="335.82"/>
    <n v="498.31"/>
    <s v="New"/>
    <n v="0.26"/>
    <s v="Cash"/>
    <s v="Retail"/>
    <s v="South-David"/>
    <n v="3022.38"/>
    <n v="4484.79"/>
    <n v="1462.4099999999999"/>
  </r>
  <r>
    <n v="1033"/>
    <d v="2023-02-08T00:00:00"/>
    <s v="Eve"/>
    <s v="North"/>
    <n v="8395.2900000000009"/>
    <n v="39"/>
    <x v="3"/>
    <n v="4232.8100000000004"/>
    <n v="4345.25"/>
    <s v="Returning"/>
    <n v="0.12"/>
    <s v="Bank Transfer"/>
    <s v="Online"/>
    <s v="North-Eve"/>
    <n v="165079.59000000003"/>
    <n v="169464.75"/>
    <n v="4385.1599999999744"/>
  </r>
  <r>
    <n v="1040"/>
    <d v="2023-01-15T00:00:00"/>
    <s v="Charlie"/>
    <s v="North"/>
    <n v="8601.77"/>
    <n v="19"/>
    <x v="0"/>
    <n v="342.3"/>
    <n v="768.06"/>
    <s v="Returning"/>
    <n v="0.09"/>
    <s v="Credit Card"/>
    <s v="Online"/>
    <s v="North-Charlie"/>
    <n v="6503.7"/>
    <n v="14593.14"/>
    <n v="8089.44"/>
  </r>
  <r>
    <n v="1074"/>
    <d v="2023-01-04T00:00:00"/>
    <s v="Eve"/>
    <s v="South"/>
    <n v="7508.72"/>
    <n v="38"/>
    <x v="0"/>
    <n v="1394.74"/>
    <n v="1848.69"/>
    <s v="Returning"/>
    <n v="0"/>
    <s v="Bank Transfer"/>
    <s v="Retail"/>
    <s v="South-Eve"/>
    <n v="53000.12"/>
    <n v="70250.22"/>
    <n v="17250.099999999999"/>
  </r>
  <r>
    <n v="1043"/>
    <d v="2023-12-15T00:00:00"/>
    <s v="David"/>
    <s v="West"/>
    <n v="4448.18"/>
    <n v="6"/>
    <x v="2"/>
    <n v="563.59"/>
    <n v="838.97"/>
    <s v="New"/>
    <n v="0.17"/>
    <s v="Credit Card"/>
    <s v="Online"/>
    <s v="West-David"/>
    <n v="3381.54"/>
    <n v="5033.82"/>
    <n v="1652.2799999999997"/>
  </r>
  <r>
    <n v="1044"/>
    <d v="2023-07-29T00:00:00"/>
    <s v="Alice"/>
    <s v="North"/>
    <n v="6144.41"/>
    <n v="47"/>
    <x v="3"/>
    <n v="1512.34"/>
    <n v="1830.76"/>
    <s v="New"/>
    <n v="0.12"/>
    <s v="Bank Transfer"/>
    <s v="Online"/>
    <s v="North-Alice"/>
    <n v="71079.98"/>
    <n v="86045.72"/>
    <n v="14965.740000000005"/>
  </r>
  <r>
    <n v="1029"/>
    <d v="2023-06-10T00:00:00"/>
    <s v="Eve"/>
    <s v="East"/>
    <n v="1687.62"/>
    <n v="15"/>
    <x v="2"/>
    <n v="498.27"/>
    <n v="634.16"/>
    <s v="Returning"/>
    <n v="0.11"/>
    <s v="Credit Card"/>
    <s v="Retail"/>
    <s v="East-Eve"/>
    <n v="7474.0499999999993"/>
    <n v="9512.4"/>
    <n v="2038.3500000000004"/>
  </r>
  <r>
    <n v="1013"/>
    <d v="2023-01-16T00:00:00"/>
    <s v="Eve"/>
    <s v="East"/>
    <n v="6769.09"/>
    <n v="20"/>
    <x v="2"/>
    <n v="3356.62"/>
    <n v="3759.0099999999902"/>
    <s v="Returning"/>
    <n v="0.05"/>
    <s v="Credit Card"/>
    <s v="Retail"/>
    <s v="East-Eve"/>
    <n v="67132.399999999994"/>
    <n v="75180.199999999808"/>
    <n v="8047.7999999998137"/>
  </r>
  <r>
    <n v="1012"/>
    <d v="2023-04-18T00:00:00"/>
    <s v="Alice"/>
    <s v="South"/>
    <n v="1874.61"/>
    <n v="9"/>
    <x v="3"/>
    <n v="709.97"/>
    <n v="1029.71"/>
    <s v="Returning"/>
    <n v="0.13"/>
    <s v="Bank Transfer"/>
    <s v="Retail"/>
    <s v="South-Alice"/>
    <n v="6389.7300000000005"/>
    <n v="9267.39"/>
    <n v="2877.6599999999989"/>
  </r>
  <r>
    <n v="1095"/>
    <d v="2023-11-07T00:00:00"/>
    <s v="Charlie"/>
    <s v="West"/>
    <n v="6970.1"/>
    <n v="32"/>
    <x v="2"/>
    <n v="4266.6400000000003"/>
    <n v="4523.3599999999997"/>
    <s v="New"/>
    <n v="0.3"/>
    <s v="Bank Transfer"/>
    <s v="Retail"/>
    <s v="West-Charlie"/>
    <n v="136532.48000000001"/>
    <n v="144747.51999999999"/>
    <n v="8215.039999999979"/>
  </r>
  <r>
    <n v="1046"/>
    <d v="2023-08-15T00:00:00"/>
    <s v="Alice"/>
    <s v="South"/>
    <n v="2373.02"/>
    <n v="4"/>
    <x v="0"/>
    <n v="4095.1"/>
    <n v="4134.55"/>
    <s v="Returning"/>
    <n v="0.09"/>
    <s v="Bank Transfer"/>
    <s v="Retail"/>
    <s v="South-Alice"/>
    <n v="16380.4"/>
    <n v="16538.2"/>
    <n v="157.80000000000109"/>
  </r>
  <r>
    <n v="1002"/>
    <d v="2023-06-19T00:00:00"/>
    <s v="Eve"/>
    <s v="West"/>
    <n v="1263.76"/>
    <n v="18"/>
    <x v="1"/>
    <n v="117.63"/>
    <n v="576.44000000000005"/>
    <s v="New"/>
    <n v="0.18"/>
    <s v="Credit Card"/>
    <s v="Retail"/>
    <s v="West-Eve"/>
    <n v="2117.34"/>
    <n v="10375.920000000002"/>
    <n v="8258.5800000000017"/>
  </r>
  <r>
    <n v="1035"/>
    <d v="2023-02-03T00:00:00"/>
    <s v="Charlie"/>
    <s v="North"/>
    <n v="1736.32"/>
    <n v="5"/>
    <x v="1"/>
    <n v="4483.8500000000004"/>
    <n v="4795.42"/>
    <s v="Returning"/>
    <n v="0.23"/>
    <s v="Cash"/>
    <s v="Online"/>
    <s v="North-Charlie"/>
    <n v="22419.25"/>
    <n v="23977.1"/>
    <n v="1557.8499999999985"/>
  </r>
  <r>
    <n v="1087"/>
    <d v="2023-09-08T00:00:00"/>
    <s v="Charlie"/>
    <s v="North"/>
    <n v="119.72"/>
    <n v="20"/>
    <x v="2"/>
    <n v="193.27"/>
    <n v="297.69"/>
    <s v="New"/>
    <n v="0.22"/>
    <s v="Cash"/>
    <s v="Online"/>
    <s v="North-Charlie"/>
    <n v="3865.4"/>
    <n v="5953.8"/>
    <n v="2088.4"/>
  </r>
  <r>
    <n v="1081"/>
    <d v="2023-09-04T00:00:00"/>
    <s v="Alice"/>
    <s v="North"/>
    <n v="7215.52"/>
    <n v="23"/>
    <x v="3"/>
    <n v="1236.25"/>
    <n v="1543.38"/>
    <s v="New"/>
    <n v="0.1"/>
    <s v="Bank Transfer"/>
    <s v="Online"/>
    <s v="North-Alice"/>
    <n v="28433.75"/>
    <n v="35497.740000000005"/>
    <n v="7063.9900000000052"/>
  </r>
  <r>
    <n v="1090"/>
    <d v="2023-09-26T00:00:00"/>
    <s v="Eve"/>
    <s v="North"/>
    <n v="7350.77"/>
    <n v="11"/>
    <x v="3"/>
    <n v="210.33"/>
    <n v="552.29"/>
    <s v="Returning"/>
    <n v="0.18"/>
    <s v="Cash"/>
    <s v="Retail"/>
    <s v="North-Eve"/>
    <n v="2313.63"/>
    <n v="6075.19"/>
    <n v="3761.5599999999995"/>
  </r>
  <r>
    <n v="1008"/>
    <d v="2023-05-21T00:00:00"/>
    <s v="David"/>
    <s v="East"/>
    <n v="5197.84"/>
    <n v="37"/>
    <x v="0"/>
    <n v="1712.43"/>
    <n v="1980.06"/>
    <s v="New"/>
    <n v="0.26"/>
    <s v="Cash"/>
    <s v="Online"/>
    <s v="East-David"/>
    <n v="63359.91"/>
    <n v="73262.22"/>
    <n v="9902.3099999999977"/>
  </r>
  <r>
    <n v="1093"/>
    <d v="2023-10-01T00:00:00"/>
    <s v="Eve"/>
    <s v="East"/>
    <n v="1697.49"/>
    <n v="22"/>
    <x v="3"/>
    <n v="2593.64"/>
    <n v="2955.5099999999902"/>
    <s v="Returning"/>
    <n v="0"/>
    <s v="Bank Transfer"/>
    <s v="Retail"/>
    <s v="East-Eve"/>
    <n v="57060.079999999994"/>
    <n v="65021.219999999783"/>
    <n v="7961.1399999997884"/>
  </r>
  <r>
    <n v="1026"/>
    <d v="2023-04-06T00:00:00"/>
    <s v="Bob"/>
    <s v="South"/>
    <n v="927.19"/>
    <n v="4"/>
    <x v="3"/>
    <n v="3993.39"/>
    <n v="4288.3"/>
    <s v="New"/>
    <n v="0.13"/>
    <s v="Credit Card"/>
    <s v="Online"/>
    <s v="South-Bob"/>
    <n v="15973.56"/>
    <n v="17153.2"/>
    <n v="1179.6400000000012"/>
  </r>
  <r>
    <n v="1074"/>
    <d v="2023-08-15T00:00:00"/>
    <s v="David"/>
    <s v="West"/>
    <n v="289.38"/>
    <n v="29"/>
    <x v="0"/>
    <n v="1723.01"/>
    <n v="2197.42"/>
    <s v="New"/>
    <n v="7.0000000000000007E-2"/>
    <s v="Bank Transfer"/>
    <s v="Retail"/>
    <s v="West-David"/>
    <n v="49967.29"/>
    <n v="63725.18"/>
    <n v="13757.89"/>
  </r>
  <r>
    <n v="1090"/>
    <d v="2023-02-08T00:00:00"/>
    <s v="Charlie"/>
    <s v="North"/>
    <n v="1740.91"/>
    <n v="44"/>
    <x v="2"/>
    <n v="3542.18"/>
    <n v="3578.49"/>
    <s v="Returning"/>
    <n v="0.12"/>
    <s v="Cash"/>
    <s v="Online"/>
    <s v="North-Charlie"/>
    <n v="155855.91999999998"/>
    <n v="157453.56"/>
    <n v="1597.640000000014"/>
  </r>
  <r>
    <n v="1034"/>
    <d v="2023-10-29T00:00:00"/>
    <s v="David"/>
    <s v="North"/>
    <n v="8919.4699999999993"/>
    <n v="34"/>
    <x v="1"/>
    <n v="978.15"/>
    <n v="1040.21"/>
    <s v="New"/>
    <n v="0.12"/>
    <s v="Credit Card"/>
    <s v="Retail"/>
    <s v="North-David"/>
    <n v="33257.1"/>
    <n v="35367.14"/>
    <n v="2110.0400000000009"/>
  </r>
  <r>
    <n v="1007"/>
    <d v="2023-01-29T00:00:00"/>
    <s v="Charlie"/>
    <s v="West"/>
    <n v="2491.21"/>
    <n v="13"/>
    <x v="0"/>
    <n v="3765.46"/>
    <n v="3860.56"/>
    <s v="Returning"/>
    <n v="0.22"/>
    <s v="Cash"/>
    <s v="Retail"/>
    <s v="West-Charlie"/>
    <n v="48950.98"/>
    <n v="50187.28"/>
    <n v="1236.2999999999956"/>
  </r>
  <r>
    <n v="1068"/>
    <d v="2023-11-14T00:00:00"/>
    <s v="Charlie"/>
    <s v="West"/>
    <n v="3607.29"/>
    <n v="42"/>
    <x v="2"/>
    <n v="1218.18"/>
    <n v="1566.36"/>
    <s v="Returning"/>
    <n v="0.03"/>
    <s v="Credit Card"/>
    <s v="Retail"/>
    <s v="West-Charlie"/>
    <n v="51163.560000000005"/>
    <n v="65787.12"/>
    <n v="14623.55999999999"/>
  </r>
  <r>
    <n v="1058"/>
    <d v="2023-09-02T00:00:00"/>
    <s v="David"/>
    <s v="South"/>
    <n v="1142.92"/>
    <n v="9"/>
    <x v="0"/>
    <n v="760.55"/>
    <n v="1086.8899999999901"/>
    <s v="Returning"/>
    <n v="0.15"/>
    <s v="Cash"/>
    <s v="Retail"/>
    <s v="South-David"/>
    <n v="6844.95"/>
    <n v="9782.0099999999111"/>
    <n v="2937.0599999999113"/>
  </r>
  <r>
    <n v="1075"/>
    <d v="2023-08-24T00:00:00"/>
    <s v="Charlie"/>
    <s v="West"/>
    <n v="2301.38"/>
    <n v="42"/>
    <x v="2"/>
    <n v="967.77"/>
    <n v="1414.88"/>
    <s v="New"/>
    <n v="0.17"/>
    <s v="Bank Transfer"/>
    <s v="Online"/>
    <s v="West-Charlie"/>
    <n v="40646.339999999997"/>
    <n v="59424.960000000006"/>
    <n v="18778.62000000001"/>
  </r>
  <r>
    <n v="1029"/>
    <d v="2023-07-04T00:00:00"/>
    <s v="Charlie"/>
    <s v="North"/>
    <n v="5240.32"/>
    <n v="31"/>
    <x v="0"/>
    <n v="951.21"/>
    <n v="1320.32"/>
    <s v="New"/>
    <n v="0.15"/>
    <s v="Cash"/>
    <s v="Online"/>
    <s v="North-Charlie"/>
    <n v="29487.510000000002"/>
    <n v="40929.919999999998"/>
    <n v="11442.409999999996"/>
  </r>
  <r>
    <n v="1036"/>
    <d v="2023-09-29T00:00:00"/>
    <s v="Bob"/>
    <s v="North"/>
    <n v="6116.75"/>
    <n v="7"/>
    <x v="2"/>
    <n v="2588.67"/>
    <n v="2847.76"/>
    <s v="New"/>
    <n v="0.22"/>
    <s v="Cash"/>
    <s v="Retail"/>
    <s v="North-Bob"/>
    <n v="18120.690000000002"/>
    <n v="19934.32"/>
    <n v="1813.6299999999974"/>
  </r>
  <r>
    <n v="1089"/>
    <d v="2023-08-24T00:00:00"/>
    <s v="Eve"/>
    <s v="North"/>
    <n v="2528.9899999999998"/>
    <n v="4"/>
    <x v="0"/>
    <n v="4231.75"/>
    <n v="4727.75"/>
    <s v="Returning"/>
    <n v="0.12"/>
    <s v="Credit Card"/>
    <s v="Retail"/>
    <s v="North-Eve"/>
    <n v="16927"/>
    <n v="18911"/>
    <n v="1984"/>
  </r>
  <r>
    <n v="1021"/>
    <d v="2023-08-27T00:00:00"/>
    <s v="Eve"/>
    <s v="North"/>
    <n v="671.55"/>
    <n v="19"/>
    <x v="2"/>
    <n v="444.05"/>
    <n v="584.44000000000005"/>
    <s v="Returning"/>
    <n v="0.28000000000000003"/>
    <s v="Cash"/>
    <s v="Retail"/>
    <s v="North-Eve"/>
    <n v="8436.9500000000007"/>
    <n v="11104.36"/>
    <n v="2667.41"/>
  </r>
  <r>
    <n v="1036"/>
    <d v="2023-09-23T00:00:00"/>
    <s v="Bob"/>
    <s v="North"/>
    <n v="3971.23"/>
    <n v="42"/>
    <x v="0"/>
    <n v="3549.43"/>
    <n v="3967.6899999999901"/>
    <s v="New"/>
    <n v="0.14000000000000001"/>
    <s v="Bank Transfer"/>
    <s v="Online"/>
    <s v="North-Bob"/>
    <n v="149076.06"/>
    <n v="166642.97999999957"/>
    <n v="17566.919999999576"/>
  </r>
  <r>
    <n v="1010"/>
    <d v="2023-12-25T00:00:00"/>
    <s v="David"/>
    <s v="South"/>
    <n v="2418.61"/>
    <n v="30"/>
    <x v="1"/>
    <n v="3289.01"/>
    <n v="3508.14"/>
    <s v="New"/>
    <n v="0.17"/>
    <s v="Bank Transfer"/>
    <s v="Retail"/>
    <s v="South-David"/>
    <n v="98670.3"/>
    <n v="105244.2"/>
    <n v="6573.8999999999942"/>
  </r>
  <r>
    <n v="1073"/>
    <d v="2023-12-06T00:00:00"/>
    <s v="Alice"/>
    <s v="North"/>
    <n v="2273.58"/>
    <n v="31"/>
    <x v="1"/>
    <n v="4368.97"/>
    <n v="4696.8500000000004"/>
    <s v="Returning"/>
    <n v="0.25"/>
    <s v="Bank Transfer"/>
    <s v="Retail"/>
    <s v="North-Alice"/>
    <n v="135438.07"/>
    <n v="145602.35"/>
    <n v="10164.279999999999"/>
  </r>
  <r>
    <n v="1024"/>
    <d v="2023-03-06T00:00:00"/>
    <s v="Alice"/>
    <s v="South"/>
    <n v="9602.64"/>
    <n v="35"/>
    <x v="3"/>
    <n v="1258.53"/>
    <n v="1624.8899999999901"/>
    <s v="New"/>
    <n v="0.08"/>
    <s v="Credit Card"/>
    <s v="Online"/>
    <s v="South-Alice"/>
    <n v="44048.549999999996"/>
    <n v="56871.149999999652"/>
    <n v="12822.599999999657"/>
  </r>
  <r>
    <n v="1064"/>
    <d v="2023-06-26T00:00:00"/>
    <s v="Alice"/>
    <s v="North"/>
    <n v="6201.37"/>
    <n v="21"/>
    <x v="2"/>
    <n v="2278.04"/>
    <n v="2598.58"/>
    <s v="Returning"/>
    <n v="0.02"/>
    <s v="Credit Card"/>
    <s v="Retail"/>
    <s v="North-Alice"/>
    <n v="47838.84"/>
    <n v="54570.18"/>
    <n v="6731.3400000000038"/>
  </r>
  <r>
    <n v="1099"/>
    <d v="2023-01-03T00:00:00"/>
    <s v="Bob"/>
    <s v="East"/>
    <n v="5613.1"/>
    <n v="31"/>
    <x v="0"/>
    <n v="4632.8500000000004"/>
    <n v="4711.7"/>
    <s v="New"/>
    <n v="0.21"/>
    <s v="Cash"/>
    <s v="Retail"/>
    <s v="East-Bob"/>
    <n v="143618.35"/>
    <n v="146062.69999999998"/>
    <n v="2444.3499999999767"/>
  </r>
  <r>
    <n v="1049"/>
    <d v="2023-05-22T00:00:00"/>
    <s v="Bob"/>
    <s v="East"/>
    <n v="4216.17"/>
    <n v="19"/>
    <x v="2"/>
    <n v="3316.97"/>
    <n v="3544.02"/>
    <s v="Returning"/>
    <n v="0.14000000000000001"/>
    <s v="Cash"/>
    <s v="Online"/>
    <s v="East-Bob"/>
    <n v="63022.429999999993"/>
    <n v="67336.38"/>
    <n v="4313.9500000000116"/>
  </r>
  <r>
    <n v="1099"/>
    <d v="2023-06-07T00:00:00"/>
    <s v="Charlie"/>
    <s v="East"/>
    <n v="4346.55"/>
    <n v="31"/>
    <x v="1"/>
    <n v="1974.4"/>
    <n v="2259.5"/>
    <s v="New"/>
    <n v="0.27"/>
    <s v="Cash"/>
    <s v="Retail"/>
    <s v="East-Charlie"/>
    <n v="61206.400000000001"/>
    <n v="70044.5"/>
    <n v="8838.0999999999985"/>
  </r>
  <r>
    <n v="1036"/>
    <d v="2023-11-20T00:00:00"/>
    <s v="Alice"/>
    <s v="East"/>
    <n v="5454.96"/>
    <n v="32"/>
    <x v="2"/>
    <n v="700.49"/>
    <n v="1126.52"/>
    <s v="New"/>
    <n v="0.28999999999999998"/>
    <s v="Credit Card"/>
    <s v="Retail"/>
    <s v="East-Alice"/>
    <n v="22415.68"/>
    <n v="36048.639999999999"/>
    <n v="13632.96"/>
  </r>
  <r>
    <n v="1082"/>
    <d v="2023-05-26T00:00:00"/>
    <s v="David"/>
    <s v="South"/>
    <n v="6994.66"/>
    <n v="2"/>
    <x v="0"/>
    <n v="1349.3"/>
    <n v="1576.69"/>
    <s v="Returning"/>
    <n v="0.12"/>
    <s v="Credit Card"/>
    <s v="Online"/>
    <s v="South-David"/>
    <n v="2698.6"/>
    <n v="3153.38"/>
    <n v="454.7800000000002"/>
  </r>
  <r>
    <n v="1096"/>
    <d v="2023-10-20T00:00:00"/>
    <s v="David"/>
    <s v="South"/>
    <n v="7051.25"/>
    <n v="10"/>
    <x v="2"/>
    <n v="2927.02"/>
    <n v="3387.21"/>
    <s v="Returning"/>
    <n v="0.12"/>
    <s v="Cash"/>
    <s v="Retail"/>
    <s v="South-David"/>
    <n v="29270.2"/>
    <n v="33872.1"/>
    <n v="4601.8999999999978"/>
  </r>
  <r>
    <n v="1024"/>
    <d v="2023-06-02T00:00:00"/>
    <s v="Alice"/>
    <s v="West"/>
    <n v="1799.77"/>
    <n v="2"/>
    <x v="0"/>
    <n v="3604.93"/>
    <n v="3830.71"/>
    <s v="Returning"/>
    <n v="0.12"/>
    <s v="Credit Card"/>
    <s v="Online"/>
    <s v="West-Alice"/>
    <n v="7209.86"/>
    <n v="7661.42"/>
    <n v="451.5600000000004"/>
  </r>
  <r>
    <n v="1023"/>
    <d v="2023-07-12T00:00:00"/>
    <s v="Alice"/>
    <s v="North"/>
    <n v="5051.12"/>
    <n v="2"/>
    <x v="1"/>
    <n v="665.89"/>
    <n v="944.79"/>
    <s v="New"/>
    <n v="0.1"/>
    <s v="Credit Card"/>
    <s v="Retail"/>
    <s v="North-Alice"/>
    <n v="1331.78"/>
    <n v="1889.58"/>
    <n v="557.79999999999995"/>
  </r>
  <r>
    <n v="1062"/>
    <d v="2023-03-14T00:00:00"/>
    <s v="Alice"/>
    <s v="East"/>
    <n v="4178.3900000000003"/>
    <n v="24"/>
    <x v="1"/>
    <n v="3018.01"/>
    <n v="3418.19"/>
    <s v="Returning"/>
    <n v="0.23"/>
    <s v="Bank Transfer"/>
    <s v="Retail"/>
    <s v="East-Alice"/>
    <n v="72432.240000000005"/>
    <n v="82036.56"/>
    <n v="9604.3199999999924"/>
  </r>
  <r>
    <n v="1096"/>
    <d v="2023-11-01T00:00:00"/>
    <s v="Bob"/>
    <s v="South"/>
    <n v="8718.2199999999993"/>
    <n v="17"/>
    <x v="1"/>
    <n v="2774.24"/>
    <n v="3069.9399999999901"/>
    <s v="Returning"/>
    <n v="0.23"/>
    <s v="Bank Transfer"/>
    <s v="Retail"/>
    <s v="South-Bob"/>
    <n v="47162.079999999994"/>
    <n v="52188.979999999829"/>
    <n v="5026.8999999998341"/>
  </r>
  <r>
    <n v="1037"/>
    <d v="2023-12-10T00:00:00"/>
    <s v="Bob"/>
    <s v="North"/>
    <n v="6351.05"/>
    <n v="32"/>
    <x v="3"/>
    <n v="2594.08"/>
    <n v="3074.59"/>
    <s v="New"/>
    <n v="0.14000000000000001"/>
    <s v="Cash"/>
    <s v="Retail"/>
    <s v="North-Bob"/>
    <n v="83010.559999999998"/>
    <n v="98386.880000000005"/>
    <n v="15376.320000000007"/>
  </r>
  <r>
    <n v="1012"/>
    <d v="2023-05-20T00:00:00"/>
    <s v="Bob"/>
    <s v="North"/>
    <n v="5371.79"/>
    <n v="16"/>
    <x v="1"/>
    <n v="3466.11"/>
    <n v="3799.67"/>
    <s v="Returning"/>
    <n v="0.01"/>
    <s v="Cash"/>
    <s v="Retail"/>
    <s v="North-Bob"/>
    <n v="55457.760000000002"/>
    <n v="60794.720000000001"/>
    <n v="5336.9599999999991"/>
  </r>
  <r>
    <n v="1055"/>
    <d v="2023-07-06T00:00:00"/>
    <s v="Eve"/>
    <s v="South"/>
    <n v="1242.4100000000001"/>
    <n v="16"/>
    <x v="2"/>
    <n v="4195.38"/>
    <n v="4461.51"/>
    <s v="Returning"/>
    <n v="0.09"/>
    <s v="Bank Transfer"/>
    <s v="Online"/>
    <s v="South-Eve"/>
    <n v="67126.080000000002"/>
    <n v="71384.160000000003"/>
    <n v="4258.0800000000017"/>
  </r>
  <r>
    <n v="1013"/>
    <d v="2023-10-20T00:00:00"/>
    <s v="David"/>
    <s v="East"/>
    <n v="6095.82"/>
    <n v="46"/>
    <x v="3"/>
    <n v="1648.8"/>
    <n v="1670.36"/>
    <s v="Returning"/>
    <n v="0.09"/>
    <s v="Credit Card"/>
    <s v="Retail"/>
    <s v="East-David"/>
    <n v="75844.800000000003"/>
    <n v="76836.56"/>
    <n v="991.75999999999476"/>
  </r>
  <r>
    <n v="1023"/>
    <d v="2023-03-02T00:00:00"/>
    <s v="David"/>
    <s v="West"/>
    <n v="1260.32"/>
    <n v="39"/>
    <x v="1"/>
    <n v="4450.6099999999997"/>
    <n v="4663.3399999999901"/>
    <s v="New"/>
    <n v="0.24"/>
    <s v="Cash"/>
    <s v="Retail"/>
    <s v="West-David"/>
    <n v="173573.78999999998"/>
    <n v="181870.2599999996"/>
    <n v="8296.4699999996228"/>
  </r>
  <r>
    <n v="1089"/>
    <d v="2023-07-17T00:00:00"/>
    <s v="Charlie"/>
    <s v="North"/>
    <n v="3438.35"/>
    <n v="31"/>
    <x v="2"/>
    <n v="845.14"/>
    <n v="1001.77"/>
    <s v="New"/>
    <n v="0.03"/>
    <s v="Cash"/>
    <s v="Online"/>
    <s v="North-Charlie"/>
    <n v="26199.34"/>
    <n v="31054.87"/>
    <n v="4855.5299999999988"/>
  </r>
  <r>
    <n v="1099"/>
    <d v="2023-10-22T00:00:00"/>
    <s v="Bob"/>
    <s v="West"/>
    <n v="1514.14"/>
    <n v="43"/>
    <x v="2"/>
    <n v="906.47"/>
    <n v="1283.04"/>
    <s v="New"/>
    <n v="0.24"/>
    <s v="Cash"/>
    <s v="Online"/>
    <s v="West-Bob"/>
    <n v="38978.21"/>
    <n v="55170.720000000001"/>
    <n v="16192.510000000002"/>
  </r>
  <r>
    <n v="1030"/>
    <d v="2023-11-15T00:00:00"/>
    <s v="Eve"/>
    <s v="East"/>
    <n v="6951.53"/>
    <n v="24"/>
    <x v="2"/>
    <n v="1370.52"/>
    <n v="1482.58"/>
    <s v="Returning"/>
    <n v="0.2"/>
    <s v="Credit Card"/>
    <s v="Retail"/>
    <s v="East-Eve"/>
    <n v="32892.479999999996"/>
    <n v="35581.919999999998"/>
    <n v="2689.4400000000023"/>
  </r>
  <r>
    <n v="1017"/>
    <d v="2023-10-29T00:00:00"/>
    <s v="Eve"/>
    <s v="East"/>
    <n v="2141.9"/>
    <n v="1"/>
    <x v="0"/>
    <n v="641.67999999999995"/>
    <n v="752.24"/>
    <s v="New"/>
    <n v="0.22"/>
    <s v="Bank Transfer"/>
    <s v="Online"/>
    <s v="East-Eve"/>
    <n v="641.67999999999995"/>
    <n v="752.24"/>
    <n v="110.56000000000006"/>
  </r>
  <r>
    <n v="1062"/>
    <d v="2023-12-10T00:00:00"/>
    <s v="David"/>
    <s v="West"/>
    <n v="3979.41"/>
    <n v="11"/>
    <x v="3"/>
    <n v="1190.08"/>
    <n v="1292.9399999999901"/>
    <s v="Returning"/>
    <n v="0.13"/>
    <s v="Cash"/>
    <s v="Retail"/>
    <s v="West-David"/>
    <n v="13090.88"/>
    <n v="14222.339999999891"/>
    <n v="1131.4599999998918"/>
  </r>
  <r>
    <n v="1084"/>
    <d v="2023-01-11T00:00:00"/>
    <s v="Bob"/>
    <s v="East"/>
    <n v="8967.18"/>
    <n v="21"/>
    <x v="2"/>
    <n v="576.74"/>
    <n v="648.29"/>
    <s v="Returning"/>
    <n v="0.2"/>
    <s v="Bank Transfer"/>
    <s v="Online"/>
    <s v="East-Bob"/>
    <n v="12111.54"/>
    <n v="13614.09"/>
    <n v="1502.5499999999993"/>
  </r>
  <r>
    <n v="1089"/>
    <d v="2023-03-03T00:00:00"/>
    <s v="Charlie"/>
    <s v="North"/>
    <n v="2122.73"/>
    <n v="4"/>
    <x v="0"/>
    <n v="4117.67"/>
    <n v="4280.0600000000004"/>
    <s v="Returning"/>
    <n v="0.18"/>
    <s v="Bank Transfer"/>
    <s v="Online"/>
    <s v="North-Charlie"/>
    <n v="16470.68"/>
    <n v="17120.240000000002"/>
    <n v="649.56000000000131"/>
  </r>
  <r>
    <n v="1086"/>
    <d v="2023-11-29T00:00:00"/>
    <s v="Bob"/>
    <s v="West"/>
    <n v="5127.2700000000004"/>
    <n v="7"/>
    <x v="1"/>
    <n v="737.9"/>
    <n v="1182"/>
    <s v="New"/>
    <n v="0.23"/>
    <s v="Credit Card"/>
    <s v="Retail"/>
    <s v="West-Bob"/>
    <n v="5165.3"/>
    <n v="8274"/>
    <n v="3108.7"/>
  </r>
  <r>
    <n v="1013"/>
    <d v="2023-08-14T00:00:00"/>
    <s v="Alice"/>
    <s v="East"/>
    <n v="4250.79"/>
    <n v="26"/>
    <x v="2"/>
    <n v="3749.12"/>
    <n v="4138.83"/>
    <s v="New"/>
    <n v="0.13"/>
    <s v="Credit Card"/>
    <s v="Online"/>
    <s v="East-Alice"/>
    <n v="97477.119999999995"/>
    <n v="107609.58"/>
    <n v="10132.460000000006"/>
  </r>
  <r>
    <n v="1059"/>
    <d v="2023-06-02T00:00:00"/>
    <s v="Bob"/>
    <s v="West"/>
    <n v="279.43"/>
    <n v="47"/>
    <x v="0"/>
    <n v="287.17"/>
    <n v="657.44"/>
    <s v="Returning"/>
    <n v="0.14000000000000001"/>
    <s v="Credit Card"/>
    <s v="Retail"/>
    <s v="West-Bob"/>
    <n v="13496.990000000002"/>
    <n v="30899.680000000004"/>
    <n v="17402.690000000002"/>
  </r>
  <r>
    <n v="1019"/>
    <d v="2023-07-18T00:00:00"/>
    <s v="Alice"/>
    <s v="North"/>
    <n v="7948.31"/>
    <n v="12"/>
    <x v="2"/>
    <n v="4745.18"/>
    <n v="5145.88"/>
    <s v="Returning"/>
    <n v="0.19"/>
    <s v="Credit Card"/>
    <s v="Online"/>
    <s v="North-Alice"/>
    <n v="56942.16"/>
    <n v="61750.559999999998"/>
    <n v="4808.3999999999942"/>
  </r>
  <r>
    <n v="1049"/>
    <d v="2023-02-21T00:00:00"/>
    <s v="Alice"/>
    <s v="East"/>
    <n v="783.55"/>
    <n v="31"/>
    <x v="3"/>
    <n v="3570.24"/>
    <n v="3712.25"/>
    <s v="New"/>
    <n v="0.03"/>
    <s v="Credit Card"/>
    <s v="Online"/>
    <s v="East-Alice"/>
    <n v="110677.43999999999"/>
    <n v="115079.75"/>
    <n v="4402.3100000000122"/>
  </r>
  <r>
    <n v="1100"/>
    <d v="2023-09-17T00:00:00"/>
    <s v="Charlie"/>
    <s v="North"/>
    <n v="4795.12"/>
    <n v="17"/>
    <x v="3"/>
    <n v="83.64"/>
    <n v="528.49"/>
    <s v="New"/>
    <n v="0.13"/>
    <s v="Credit Card"/>
    <s v="Online"/>
    <s v="North-Charlie"/>
    <n v="1421.88"/>
    <n v="8984.33"/>
    <n v="7562.45"/>
  </r>
  <r>
    <n v="1012"/>
    <d v="2023-02-28T00:00:00"/>
    <s v="David"/>
    <s v="East"/>
    <n v="5650.72"/>
    <n v="33"/>
    <x v="1"/>
    <n v="3831.09"/>
    <n v="3908.37"/>
    <s v="New"/>
    <n v="0.28999999999999998"/>
    <s v="Cash"/>
    <s v="Retail"/>
    <s v="East-David"/>
    <n v="126425.97"/>
    <n v="128976.20999999999"/>
    <n v="2550.2399999999907"/>
  </r>
  <r>
    <n v="1061"/>
    <d v="2023-03-13T00:00:00"/>
    <s v="Bob"/>
    <s v="South"/>
    <n v="6321.42"/>
    <n v="11"/>
    <x v="2"/>
    <n v="2594.71"/>
    <n v="2769.52"/>
    <s v="Returning"/>
    <n v="0.01"/>
    <s v="Bank Transfer"/>
    <s v="Retail"/>
    <s v="South-Bob"/>
    <n v="28541.81"/>
    <n v="30464.720000000001"/>
    <n v="1922.9099999999999"/>
  </r>
  <r>
    <n v="1019"/>
    <d v="2023-05-28T00:00:00"/>
    <s v="Alice"/>
    <s v="East"/>
    <n v="6917.45"/>
    <n v="28"/>
    <x v="0"/>
    <n v="3907.86"/>
    <n v="4205.37"/>
    <s v="New"/>
    <n v="0.09"/>
    <s v="Credit Card"/>
    <s v="Online"/>
    <s v="East-Alice"/>
    <n v="109420.08"/>
    <n v="117750.36"/>
    <n v="8330.2799999999988"/>
  </r>
  <r>
    <n v="1076"/>
    <d v="2023-12-15T00:00:00"/>
    <s v="Bob"/>
    <s v="West"/>
    <n v="2607.4"/>
    <n v="32"/>
    <x v="1"/>
    <n v="2636.36"/>
    <n v="2696.78"/>
    <s v="New"/>
    <n v="0.09"/>
    <s v="Cash"/>
    <s v="Retail"/>
    <s v="West-Bob"/>
    <n v="84363.520000000004"/>
    <n v="86296.960000000006"/>
    <n v="1933.4400000000023"/>
  </r>
  <r>
    <n v="1009"/>
    <d v="2023-03-04T00:00:00"/>
    <s v="David"/>
    <s v="East"/>
    <n v="198.79"/>
    <n v="1"/>
    <x v="2"/>
    <n v="3223.07"/>
    <n v="3590.83"/>
    <s v="New"/>
    <n v="0.19"/>
    <s v="Bank Transfer"/>
    <s v="Retail"/>
    <s v="East-David"/>
    <n v="3223.07"/>
    <n v="3590.83"/>
    <n v="367.75999999999976"/>
  </r>
  <r>
    <n v="1071"/>
    <d v="2023-11-06T00:00:00"/>
    <s v="David"/>
    <s v="North"/>
    <n v="7262.09"/>
    <n v="47"/>
    <x v="1"/>
    <n v="3942.34"/>
    <n v="4142.09"/>
    <s v="Returning"/>
    <n v="0.03"/>
    <s v="Credit Card"/>
    <s v="Retail"/>
    <s v="North-David"/>
    <n v="185289.98"/>
    <n v="194678.23"/>
    <n v="9388.25"/>
  </r>
  <r>
    <n v="1028"/>
    <d v="2023-08-31T00:00:00"/>
    <s v="Eve"/>
    <s v="North"/>
    <n v="5403"/>
    <n v="28"/>
    <x v="0"/>
    <n v="2055.2800000000002"/>
    <n v="2449.64"/>
    <s v="New"/>
    <n v="0.19"/>
    <s v="Credit Card"/>
    <s v="Online"/>
    <s v="North-Eve"/>
    <n v="57547.840000000004"/>
    <n v="68589.919999999998"/>
    <n v="11042.079999999994"/>
  </r>
  <r>
    <n v="1078"/>
    <d v="2024-01-01T00:00:00"/>
    <s v="David"/>
    <s v="East"/>
    <n v="8377.57"/>
    <n v="42"/>
    <x v="1"/>
    <n v="63.41"/>
    <n v="314.93"/>
    <s v="Returning"/>
    <n v="0.03"/>
    <s v="Cash"/>
    <s v="Retail"/>
    <s v="East-David"/>
    <n v="2663.22"/>
    <n v="13227.06"/>
    <n v="10563.84"/>
  </r>
  <r>
    <n v="1095"/>
    <d v="2023-11-26T00:00:00"/>
    <s v="Charlie"/>
    <s v="West"/>
    <n v="8231.74"/>
    <n v="7"/>
    <x v="1"/>
    <n v="4257.24"/>
    <n v="4355.87"/>
    <s v="Returning"/>
    <n v="0.03"/>
    <s v="Bank Transfer"/>
    <s v="Online"/>
    <s v="West-Charlie"/>
    <n v="29800.68"/>
    <n v="30491.09"/>
    <n v="690.40999999999985"/>
  </r>
  <r>
    <n v="1052"/>
    <d v="2023-04-17T00:00:00"/>
    <s v="Alice"/>
    <s v="South"/>
    <n v="8448.93"/>
    <n v="2"/>
    <x v="1"/>
    <n v="1935.41"/>
    <n v="2305.44"/>
    <s v="Returning"/>
    <n v="0.22"/>
    <s v="Credit Card"/>
    <s v="Online"/>
    <s v="South-Alice"/>
    <n v="3870.82"/>
    <n v="4610.88"/>
    <n v="740.06"/>
  </r>
  <r>
    <n v="1083"/>
    <d v="2023-08-14T00:00:00"/>
    <s v="Eve"/>
    <s v="West"/>
    <n v="4902.4399999999996"/>
    <n v="42"/>
    <x v="2"/>
    <n v="2505.41"/>
    <n v="2638.96"/>
    <s v="New"/>
    <n v="0.1"/>
    <s v="Bank Transfer"/>
    <s v="Online"/>
    <s v="West-Eve"/>
    <n v="105227.22"/>
    <n v="110836.32"/>
    <n v="5609.1000000000058"/>
  </r>
  <r>
    <n v="1016"/>
    <d v="2023-11-09T00:00:00"/>
    <s v="Charlie"/>
    <s v="South"/>
    <n v="3402.92"/>
    <n v="24"/>
    <x v="0"/>
    <n v="88.44"/>
    <n v="338.94"/>
    <s v="New"/>
    <n v="0.28999999999999998"/>
    <s v="Cash"/>
    <s v="Online"/>
    <s v="South-Charlie"/>
    <n v="2122.56"/>
    <n v="8134.5599999999995"/>
    <n v="6012"/>
  </r>
  <r>
    <n v="1069"/>
    <d v="2023-08-06T00:00:00"/>
    <s v="Bob"/>
    <s v="North"/>
    <n v="7936.43"/>
    <n v="4"/>
    <x v="3"/>
    <n v="2485.86"/>
    <n v="2532.87"/>
    <s v="New"/>
    <n v="0.01"/>
    <s v="Credit Card"/>
    <s v="Online"/>
    <s v="North-Bob"/>
    <n v="9943.44"/>
    <n v="10131.48"/>
    <n v="188.03999999999905"/>
  </r>
  <r>
    <n v="1099"/>
    <d v="2023-08-29T00:00:00"/>
    <s v="Alice"/>
    <s v="West"/>
    <n v="4567.8100000000004"/>
    <n v="44"/>
    <x v="2"/>
    <n v="4933.1099999999997"/>
    <n v="5245.86"/>
    <s v="Returning"/>
    <n v="0.13"/>
    <s v="Bank Transfer"/>
    <s v="Retail"/>
    <s v="West-Alice"/>
    <n v="217056.84"/>
    <n v="230817.84"/>
    <n v="13761"/>
  </r>
  <r>
    <n v="1012"/>
    <d v="2023-09-16T00:00:00"/>
    <s v="David"/>
    <s v="South"/>
    <n v="1916.08"/>
    <n v="19"/>
    <x v="3"/>
    <n v="1427.42"/>
    <n v="1763.69"/>
    <s v="New"/>
    <n v="0.03"/>
    <s v="Cash"/>
    <s v="Retail"/>
    <s v="South-David"/>
    <n v="27120.980000000003"/>
    <n v="33510.11"/>
    <n v="6389.1299999999974"/>
  </r>
  <r>
    <n v="1025"/>
    <d v="2023-09-19T00:00:00"/>
    <s v="Alice"/>
    <s v="East"/>
    <n v="8564.24"/>
    <n v="26"/>
    <x v="3"/>
    <n v="2007.32"/>
    <n v="2202.87"/>
    <s v="Returning"/>
    <n v="0.11"/>
    <s v="Cash"/>
    <s v="Online"/>
    <s v="East-Alice"/>
    <n v="52190.32"/>
    <n v="57274.619999999995"/>
    <n v="5084.2999999999956"/>
  </r>
  <r>
    <n v="1052"/>
    <d v="2023-01-05T00:00:00"/>
    <s v="Bob"/>
    <s v="North"/>
    <n v="8837.34"/>
    <n v="11"/>
    <x v="2"/>
    <n v="3451.59"/>
    <n v="3929.26"/>
    <s v="New"/>
    <n v="0.3"/>
    <s v="Credit Card"/>
    <s v="Retail"/>
    <s v="North-Bob"/>
    <n v="37967.490000000005"/>
    <n v="43221.86"/>
    <n v="5254.3699999999953"/>
  </r>
  <r>
    <n v="1085"/>
    <d v="2023-09-18T00:00:00"/>
    <s v="Eve"/>
    <s v="East"/>
    <n v="4716.47"/>
    <n v="40"/>
    <x v="2"/>
    <n v="4083.23"/>
    <n v="4521.57"/>
    <s v="New"/>
    <n v="0.27"/>
    <s v="Bank Transfer"/>
    <s v="Retail"/>
    <s v="East-Eve"/>
    <n v="163329.20000000001"/>
    <n v="180862.8"/>
    <n v="17533.599999999977"/>
  </r>
  <r>
    <n v="1100"/>
    <d v="2023-02-23T00:00:00"/>
    <s v="Eve"/>
    <s v="North"/>
    <n v="849.43"/>
    <n v="43"/>
    <x v="0"/>
    <n v="2116.09"/>
    <n v="2472.98"/>
    <s v="New"/>
    <n v="0.01"/>
    <s v="Credit Card"/>
    <s v="Retail"/>
    <s v="North-Eve"/>
    <n v="90991.87000000001"/>
    <n v="106338.14"/>
    <n v="15346.26999999999"/>
  </r>
  <r>
    <n v="1053"/>
    <d v="2023-02-16T00:00:00"/>
    <s v="Eve"/>
    <s v="West"/>
    <n v="3939.48"/>
    <n v="11"/>
    <x v="0"/>
    <n v="1582.86"/>
    <n v="1942.55"/>
    <s v="New"/>
    <n v="0.17"/>
    <s v="Credit Card"/>
    <s v="Retail"/>
    <s v="West-Eve"/>
    <n v="17411.46"/>
    <n v="21368.05"/>
    <n v="3956.59"/>
  </r>
  <r>
    <n v="1023"/>
    <d v="2023-08-03T00:00:00"/>
    <s v="David"/>
    <s v="West"/>
    <n v="8055.02"/>
    <n v="45"/>
    <x v="1"/>
    <n v="4692.24"/>
    <n v="4825.92"/>
    <s v="Returning"/>
    <n v="0.19"/>
    <s v="Bank Transfer"/>
    <s v="Retail"/>
    <s v="West-David"/>
    <n v="211150.8"/>
    <n v="217166.4"/>
    <n v="6015.6000000000058"/>
  </r>
  <r>
    <n v="1016"/>
    <d v="2023-06-26T00:00:00"/>
    <s v="Charlie"/>
    <s v="North"/>
    <n v="9027.56"/>
    <n v="3"/>
    <x v="3"/>
    <n v="3401.87"/>
    <n v="3733.71"/>
    <s v="Returning"/>
    <n v="0.06"/>
    <s v="Bank Transfer"/>
    <s v="Retail"/>
    <s v="North-Charlie"/>
    <n v="10205.61"/>
    <n v="11201.130000000001"/>
    <n v="995.52000000000044"/>
  </r>
  <r>
    <n v="1057"/>
    <d v="2023-01-09T00:00:00"/>
    <s v="Charlie"/>
    <s v="North"/>
    <n v="2114.38"/>
    <n v="12"/>
    <x v="0"/>
    <n v="639.16"/>
    <n v="746.28"/>
    <s v="Returning"/>
    <n v="0.04"/>
    <s v="Bank Transfer"/>
    <s v="Retail"/>
    <s v="North-Charlie"/>
    <n v="7669.92"/>
    <n v="8955.36"/>
    <n v="1285.4400000000005"/>
  </r>
  <r>
    <n v="1039"/>
    <d v="2023-04-09T00:00:00"/>
    <s v="Alice"/>
    <s v="North"/>
    <n v="763.04"/>
    <n v="3"/>
    <x v="1"/>
    <n v="391.19"/>
    <n v="471.75"/>
    <s v="Returning"/>
    <n v="0.27"/>
    <s v="Cash"/>
    <s v="Online"/>
    <s v="North-Alice"/>
    <n v="1173.57"/>
    <n v="1415.25"/>
    <n v="241.68000000000006"/>
  </r>
  <r>
    <n v="1053"/>
    <d v="2023-01-20T00:00:00"/>
    <s v="David"/>
    <s v="West"/>
    <n v="8785.77"/>
    <n v="42"/>
    <x v="0"/>
    <n v="2443.5700000000002"/>
    <n v="2943.31"/>
    <s v="New"/>
    <n v="0.28999999999999998"/>
    <s v="Cash"/>
    <s v="Online"/>
    <s v="West-David"/>
    <n v="102629.94"/>
    <n v="123619.02"/>
    <n v="20989.08"/>
  </r>
  <r>
    <n v="1042"/>
    <d v="2023-08-29T00:00:00"/>
    <s v="Eve"/>
    <s v="South"/>
    <n v="3955.11"/>
    <n v="27"/>
    <x v="2"/>
    <n v="1139.45"/>
    <n v="1454.41"/>
    <s v="Returning"/>
    <n v="0.3"/>
    <s v="Bank Transfer"/>
    <s v="Online"/>
    <s v="South-Eve"/>
    <n v="30765.15"/>
    <n v="39269.07"/>
    <n v="8503.9199999999983"/>
  </r>
  <r>
    <n v="1058"/>
    <d v="2023-03-02T00:00:00"/>
    <s v="Eve"/>
    <s v="East"/>
    <n v="5463.43"/>
    <n v="49"/>
    <x v="0"/>
    <n v="1307.22"/>
    <n v="1528.4"/>
    <s v="Returning"/>
    <n v="0.24"/>
    <s v="Cash"/>
    <s v="Retail"/>
    <s v="East-Eve"/>
    <n v="64053.78"/>
    <n v="74891.600000000006"/>
    <n v="10837.820000000007"/>
  </r>
  <r>
    <n v="1039"/>
    <d v="2023-06-27T00:00:00"/>
    <s v="Bob"/>
    <s v="East"/>
    <n v="9683.85"/>
    <n v="2"/>
    <x v="3"/>
    <n v="4394.58"/>
    <n v="4545.78"/>
    <s v="Returning"/>
    <n v="0.2"/>
    <s v="Credit Card"/>
    <s v="Retail"/>
    <s v="East-Bob"/>
    <n v="8789.16"/>
    <n v="9091.56"/>
    <n v="302.39999999999964"/>
  </r>
  <r>
    <n v="1014"/>
    <d v="2023-12-04T00:00:00"/>
    <s v="Bob"/>
    <s v="West"/>
    <n v="758.99"/>
    <n v="49"/>
    <x v="0"/>
    <n v="493.35"/>
    <n v="799.27"/>
    <s v="New"/>
    <n v="0.1"/>
    <s v="Bank Transfer"/>
    <s v="Online"/>
    <s v="West-Bob"/>
    <n v="24174.15"/>
    <n v="39164.229999999996"/>
    <n v="14990.079999999994"/>
  </r>
  <r>
    <n v="1095"/>
    <d v="2023-03-03T00:00:00"/>
    <s v="Eve"/>
    <s v="East"/>
    <n v="6518.35"/>
    <n v="16"/>
    <x v="3"/>
    <n v="3591.05"/>
    <n v="3625.35"/>
    <s v="Returning"/>
    <n v="0.05"/>
    <s v="Credit Card"/>
    <s v="Retail"/>
    <s v="East-Eve"/>
    <n v="57456.800000000003"/>
    <n v="58005.599999999999"/>
    <n v="548.79999999999563"/>
  </r>
  <r>
    <n v="1005"/>
    <d v="2023-05-25T00:00:00"/>
    <s v="Eve"/>
    <s v="North"/>
    <n v="833.64"/>
    <n v="2"/>
    <x v="2"/>
    <n v="1392.15"/>
    <n v="1448.54"/>
    <s v="Returning"/>
    <n v="0.02"/>
    <s v="Bank Transfer"/>
    <s v="Retail"/>
    <s v="North-Eve"/>
    <n v="2784.3"/>
    <n v="2897.08"/>
    <n v="112.77999999999975"/>
  </r>
  <r>
    <n v="1035"/>
    <d v="2023-08-04T00:00:00"/>
    <s v="David"/>
    <s v="South"/>
    <n v="3817.14"/>
    <n v="30"/>
    <x v="3"/>
    <n v="3813.62"/>
    <n v="3839.72"/>
    <s v="New"/>
    <n v="0.21"/>
    <s v="Credit Card"/>
    <s v="Online"/>
    <s v="South-David"/>
    <n v="114408.59999999999"/>
    <n v="115191.59999999999"/>
    <n v="783"/>
  </r>
  <r>
    <n v="1087"/>
    <d v="2023-01-03T00:00:00"/>
    <s v="Charlie"/>
    <s v="East"/>
    <n v="8057.76"/>
    <n v="20"/>
    <x v="0"/>
    <n v="3625.94"/>
    <n v="3880.53"/>
    <s v="New"/>
    <n v="0.24"/>
    <s v="Bank Transfer"/>
    <s v="Online"/>
    <s v="East-Charlie"/>
    <n v="72518.8"/>
    <n v="77610.600000000006"/>
    <n v="5091.8000000000029"/>
  </r>
  <r>
    <n v="1093"/>
    <d v="2023-06-09T00:00:00"/>
    <s v="Bob"/>
    <s v="South"/>
    <n v="4391.38"/>
    <n v="38"/>
    <x v="1"/>
    <n v="86.59"/>
    <n v="390.89"/>
    <s v="Returning"/>
    <n v="0.25"/>
    <s v="Credit Card"/>
    <s v="Online"/>
    <s v="South-Bob"/>
    <n v="3290.42"/>
    <n v="14853.82"/>
    <n v="11563.4"/>
  </r>
  <r>
    <n v="1075"/>
    <d v="2023-08-15T00:00:00"/>
    <s v="Charlie"/>
    <s v="North"/>
    <n v="9972.11"/>
    <n v="28"/>
    <x v="2"/>
    <n v="2570.2199999999998"/>
    <n v="2610.8399999999901"/>
    <s v="Returning"/>
    <n v="0.27"/>
    <s v="Bank Transfer"/>
    <s v="Retail"/>
    <s v="North-Charlie"/>
    <n v="71966.159999999989"/>
    <n v="73103.519999999728"/>
    <n v="1137.3599999997386"/>
  </r>
  <r>
    <n v="1018"/>
    <d v="2023-09-26T00:00:00"/>
    <s v="David"/>
    <s v="East"/>
    <n v="5634.69"/>
    <n v="25"/>
    <x v="0"/>
    <n v="739.63"/>
    <n v="1103.03"/>
    <s v="New"/>
    <n v="0.26"/>
    <s v="Bank Transfer"/>
    <s v="Retail"/>
    <s v="East-David"/>
    <n v="18490.75"/>
    <n v="27575.75"/>
    <n v="9085"/>
  </r>
  <r>
    <n v="1076"/>
    <d v="2023-04-30T00:00:00"/>
    <s v="Eve"/>
    <s v="West"/>
    <n v="3279.51"/>
    <n v="32"/>
    <x v="2"/>
    <n v="4337.82"/>
    <n v="4460.71"/>
    <s v="Returning"/>
    <n v="0.3"/>
    <s v="Cash"/>
    <s v="Retail"/>
    <s v="West-Eve"/>
    <n v="138810.23999999999"/>
    <n v="142742.72"/>
    <n v="3932.4800000000105"/>
  </r>
  <r>
    <n v="1009"/>
    <d v="2023-03-30T00:00:00"/>
    <s v="Charlie"/>
    <s v="South"/>
    <n v="2279.1"/>
    <n v="10"/>
    <x v="2"/>
    <n v="4364.3500000000004"/>
    <n v="4710.1000000000004"/>
    <s v="New"/>
    <n v="7.0000000000000007E-2"/>
    <s v="Credit Card"/>
    <s v="Online"/>
    <s v="South-Charlie"/>
    <n v="43643.5"/>
    <n v="47101"/>
    <n v="3457.5"/>
  </r>
  <r>
    <n v="1074"/>
    <d v="2023-11-25T00:00:00"/>
    <s v="Eve"/>
    <s v="North"/>
    <n v="3570.15"/>
    <n v="42"/>
    <x v="0"/>
    <n v="2120.81"/>
    <n v="2611.94"/>
    <s v="Returning"/>
    <n v="0.23"/>
    <s v="Cash"/>
    <s v="Online"/>
    <s v="North-Eve"/>
    <n v="89074.02"/>
    <n v="109701.48"/>
    <n v="20627.459999999992"/>
  </r>
  <r>
    <n v="1058"/>
    <d v="2023-03-09T00:00:00"/>
    <s v="Eve"/>
    <s v="South"/>
    <n v="3788.08"/>
    <n v="40"/>
    <x v="0"/>
    <n v="2249.7600000000002"/>
    <n v="2598.4"/>
    <s v="Returning"/>
    <n v="0.18"/>
    <s v="Credit Card"/>
    <s v="Retail"/>
    <s v="South-Eve"/>
    <n v="89990.400000000009"/>
    <n v="103936"/>
    <n v="13945.599999999991"/>
  </r>
  <r>
    <n v="1017"/>
    <d v="2023-12-23T00:00:00"/>
    <s v="Alice"/>
    <s v="East"/>
    <n v="780.27"/>
    <n v="33"/>
    <x v="1"/>
    <n v="1551.25"/>
    <n v="1994.01"/>
    <s v="Returning"/>
    <n v="0.08"/>
    <s v="Cash"/>
    <s v="Online"/>
    <s v="East-Alice"/>
    <n v="51191.25"/>
    <n v="65802.33"/>
    <n v="14611.080000000002"/>
  </r>
  <r>
    <n v="1007"/>
    <d v="2023-04-08T00:00:00"/>
    <s v="Charlie"/>
    <s v="East"/>
    <n v="3758.78"/>
    <n v="13"/>
    <x v="2"/>
    <n v="3597.2"/>
    <n v="4071.8199999999902"/>
    <s v="Returning"/>
    <n v="0.28999999999999998"/>
    <s v="Bank Transfer"/>
    <s v="Online"/>
    <s v="East-Charlie"/>
    <n v="46763.6"/>
    <n v="52933.659999999873"/>
    <n v="6170.059999999874"/>
  </r>
  <r>
    <n v="1046"/>
    <d v="2023-09-24T00:00:00"/>
    <s v="Charlie"/>
    <s v="West"/>
    <n v="4695.96"/>
    <n v="41"/>
    <x v="2"/>
    <n v="1825.37"/>
    <n v="2073.88"/>
    <s v="Returning"/>
    <n v="0.27"/>
    <s v="Cash"/>
    <s v="Retail"/>
    <s v="West-Charlie"/>
    <n v="74840.17"/>
    <n v="85029.08"/>
    <n v="10188.910000000003"/>
  </r>
  <r>
    <n v="1013"/>
    <d v="2023-04-15T00:00:00"/>
    <s v="Eve"/>
    <s v="North"/>
    <n v="7255.1"/>
    <n v="42"/>
    <x v="0"/>
    <n v="1375.57"/>
    <n v="1729.71"/>
    <s v="New"/>
    <n v="0.04"/>
    <s v="Cash"/>
    <s v="Online"/>
    <s v="North-Eve"/>
    <n v="57773.939999999995"/>
    <n v="72647.820000000007"/>
    <n v="14873.880000000012"/>
  </r>
  <r>
    <n v="1040"/>
    <d v="2023-11-19T00:00:00"/>
    <s v="David"/>
    <s v="North"/>
    <n v="6601.62"/>
    <n v="47"/>
    <x v="3"/>
    <n v="2189.54"/>
    <n v="2617"/>
    <s v="New"/>
    <n v="0.01"/>
    <s v="Bank Transfer"/>
    <s v="Online"/>
    <s v="North-David"/>
    <n v="102908.38"/>
    <n v="122999"/>
    <n v="20090.619999999995"/>
  </r>
  <r>
    <n v="1042"/>
    <d v="2023-05-03T00:00:00"/>
    <s v="Alice"/>
    <s v="West"/>
    <n v="7116.78"/>
    <n v="37"/>
    <x v="0"/>
    <n v="502.86"/>
    <n v="687.6"/>
    <s v="Returning"/>
    <n v="0.21"/>
    <s v="Cash"/>
    <s v="Online"/>
    <s v="West-Alice"/>
    <n v="18605.82"/>
    <n v="25441.200000000001"/>
    <n v="6835.380000000001"/>
  </r>
  <r>
    <n v="1009"/>
    <d v="2023-01-29T00:00:00"/>
    <s v="Eve"/>
    <s v="West"/>
    <n v="182.8"/>
    <n v="16"/>
    <x v="2"/>
    <n v="3745.69"/>
    <n v="3883.77"/>
    <s v="Returning"/>
    <n v="0.18"/>
    <s v="Bank Transfer"/>
    <s v="Retail"/>
    <s v="West-Eve"/>
    <n v="59931.040000000001"/>
    <n v="62140.32"/>
    <n v="2209.2799999999988"/>
  </r>
  <r>
    <n v="1050"/>
    <d v="2023-05-17T00:00:00"/>
    <s v="Bob"/>
    <s v="North"/>
    <n v="2254.91"/>
    <n v="45"/>
    <x v="0"/>
    <n v="112.35"/>
    <n v="586.17999999999995"/>
    <s v="Returning"/>
    <n v="0.28000000000000003"/>
    <s v="Credit Card"/>
    <s v="Retail"/>
    <s v="North-Bob"/>
    <n v="5055.75"/>
    <n v="26378.1"/>
    <n v="21322.35"/>
  </r>
  <r>
    <n v="1027"/>
    <d v="2023-07-14T00:00:00"/>
    <s v="Bob"/>
    <s v="South"/>
    <n v="6650.67"/>
    <n v="22"/>
    <x v="1"/>
    <n v="3240.2"/>
    <n v="3606.0899999999901"/>
    <s v="New"/>
    <n v="7.0000000000000007E-2"/>
    <s v="Cash"/>
    <s v="Online"/>
    <s v="South-Bob"/>
    <n v="71284.399999999994"/>
    <n v="79333.979999999778"/>
    <n v="8049.5799999997835"/>
  </r>
  <r>
    <n v="1066"/>
    <d v="2023-08-14T00:00:00"/>
    <s v="Alice"/>
    <s v="South"/>
    <n v="4891.49"/>
    <n v="20"/>
    <x v="3"/>
    <n v="955.18"/>
    <n v="1072.82"/>
    <s v="New"/>
    <n v="0.03"/>
    <s v="Bank Transfer"/>
    <s v="Retail"/>
    <s v="South-Alice"/>
    <n v="19103.599999999999"/>
    <n v="21456.399999999998"/>
    <n v="2352.7999999999993"/>
  </r>
  <r>
    <n v="1005"/>
    <d v="2023-11-28T00:00:00"/>
    <s v="David"/>
    <s v="West"/>
    <n v="152.6"/>
    <n v="43"/>
    <x v="0"/>
    <n v="1200.4000000000001"/>
    <n v="1430.45"/>
    <s v="New"/>
    <n v="0.08"/>
    <s v="Bank Transfer"/>
    <s v="Retail"/>
    <s v="West-David"/>
    <n v="51617.200000000004"/>
    <n v="61509.35"/>
    <n v="9892.1499999999942"/>
  </r>
  <r>
    <n v="1029"/>
    <d v="2023-06-19T00:00:00"/>
    <s v="Eve"/>
    <s v="South"/>
    <n v="8064.5"/>
    <n v="27"/>
    <x v="1"/>
    <n v="3196.38"/>
    <n v="3596.64"/>
    <s v="New"/>
    <n v="0.01"/>
    <s v="Cash"/>
    <s v="Retail"/>
    <s v="South-Eve"/>
    <n v="86302.260000000009"/>
    <n v="97109.28"/>
    <n v="10807.01999999999"/>
  </r>
  <r>
    <n v="1037"/>
    <d v="2023-01-09T00:00:00"/>
    <s v="Charlie"/>
    <s v="North"/>
    <n v="7750.81"/>
    <n v="41"/>
    <x v="2"/>
    <n v="4965.07"/>
    <n v="5243.13"/>
    <s v="New"/>
    <n v="0.01"/>
    <s v="Credit Card"/>
    <s v="Online"/>
    <s v="North-Charlie"/>
    <n v="203567.87"/>
    <n v="214968.33000000002"/>
    <n v="11400.460000000021"/>
  </r>
  <r>
    <n v="1038"/>
    <d v="2023-02-09T00:00:00"/>
    <s v="Alice"/>
    <s v="East"/>
    <n v="5529.35"/>
    <n v="16"/>
    <x v="0"/>
    <n v="3899.7"/>
    <n v="4228.18"/>
    <s v="New"/>
    <n v="0.27"/>
    <s v="Cash"/>
    <s v="Retail"/>
    <s v="East-Alice"/>
    <n v="62395.199999999997"/>
    <n v="67650.880000000005"/>
    <n v="5255.6800000000076"/>
  </r>
  <r>
    <n v="1083"/>
    <d v="2023-01-25T00:00:00"/>
    <s v="David"/>
    <s v="East"/>
    <n v="757.99"/>
    <n v="34"/>
    <x v="2"/>
    <n v="1167.9100000000001"/>
    <n v="1547.26"/>
    <s v="New"/>
    <n v="0.11"/>
    <s v="Bank Transfer"/>
    <s v="Online"/>
    <s v="East-David"/>
    <n v="39708.94"/>
    <n v="52606.84"/>
    <n v="12897.899999999994"/>
  </r>
  <r>
    <n v="1008"/>
    <d v="2023-09-18T00:00:00"/>
    <s v="Charlie"/>
    <s v="South"/>
    <n v="7688.5"/>
    <n v="32"/>
    <x v="1"/>
    <n v="921.32"/>
    <n v="1236.0999999999999"/>
    <s v="New"/>
    <n v="0.12"/>
    <s v="Credit Card"/>
    <s v="Online"/>
    <s v="South-Charlie"/>
    <n v="29482.240000000002"/>
    <n v="39555.199999999997"/>
    <n v="10072.959999999995"/>
  </r>
  <r>
    <n v="1065"/>
    <d v="2023-08-14T00:00:00"/>
    <s v="Bob"/>
    <s v="West"/>
    <n v="5878.76"/>
    <n v="26"/>
    <x v="2"/>
    <n v="4337.8500000000004"/>
    <n v="4612.49"/>
    <s v="Returning"/>
    <n v="0.01"/>
    <s v="Cash"/>
    <s v="Retail"/>
    <s v="West-Bob"/>
    <n v="112784.1"/>
    <n v="119924.73999999999"/>
    <n v="7140.6399999999849"/>
  </r>
  <r>
    <n v="1086"/>
    <d v="2023-05-04T00:00:00"/>
    <s v="Bob"/>
    <s v="West"/>
    <n v="7841.4"/>
    <n v="25"/>
    <x v="1"/>
    <n v="2248.71"/>
    <n v="2626.02"/>
    <s v="New"/>
    <n v="0.08"/>
    <s v="Bank Transfer"/>
    <s v="Online"/>
    <s v="West-Bob"/>
    <n v="56217.75"/>
    <n v="65650.5"/>
    <n v="9432.75"/>
  </r>
  <r>
    <n v="1017"/>
    <d v="2023-02-07T00:00:00"/>
    <s v="Charlie"/>
    <s v="West"/>
    <n v="7542.3"/>
    <n v="2"/>
    <x v="1"/>
    <n v="728.41"/>
    <n v="1094.92"/>
    <s v="New"/>
    <n v="0.24"/>
    <s v="Cash"/>
    <s v="Retail"/>
    <s v="West-Charlie"/>
    <n v="1456.82"/>
    <n v="2189.84"/>
    <n v="733.02000000000021"/>
  </r>
  <r>
    <n v="1071"/>
    <d v="2023-11-24T00:00:00"/>
    <s v="Alice"/>
    <s v="West"/>
    <n v="8049.72"/>
    <n v="12"/>
    <x v="1"/>
    <n v="4317.95"/>
    <n v="4636.59"/>
    <s v="New"/>
    <n v="0.18"/>
    <s v="Credit Card"/>
    <s v="Retail"/>
    <s v="West-Alice"/>
    <n v="51815.399999999994"/>
    <n v="55639.08"/>
    <n v="3823.6800000000076"/>
  </r>
  <r>
    <n v="1089"/>
    <d v="2023-09-08T00:00:00"/>
    <s v="Bob"/>
    <s v="West"/>
    <n v="5228.28"/>
    <n v="40"/>
    <x v="0"/>
    <n v="4089.66"/>
    <n v="4275.96"/>
    <s v="New"/>
    <n v="0.23"/>
    <s v="Credit Card"/>
    <s v="Online"/>
    <s v="West-Bob"/>
    <n v="163586.4"/>
    <n v="171038.4"/>
    <n v="7452"/>
  </r>
  <r>
    <n v="1045"/>
    <d v="2023-06-25T00:00:00"/>
    <s v="Eve"/>
    <s v="South"/>
    <n v="1489.21"/>
    <n v="9"/>
    <x v="2"/>
    <n v="4920.34"/>
    <n v="5129.1899999999996"/>
    <s v="Returning"/>
    <n v="0.13"/>
    <s v="Credit Card"/>
    <s v="Online"/>
    <s v="South-Eve"/>
    <n v="44283.06"/>
    <n v="46162.71"/>
    <n v="1879.6500000000015"/>
  </r>
  <r>
    <n v="1004"/>
    <d v="2023-03-31T00:00:00"/>
    <s v="Charlie"/>
    <s v="East"/>
    <n v="6744.46"/>
    <n v="12"/>
    <x v="2"/>
    <n v="4553.2299999999996"/>
    <n v="5038.74"/>
    <s v="New"/>
    <n v="0.09"/>
    <s v="Credit Card"/>
    <s v="Retail"/>
    <s v="East-Charlie"/>
    <n v="54638.759999999995"/>
    <n v="60464.88"/>
    <n v="5826.1200000000026"/>
  </r>
  <r>
    <n v="1036"/>
    <d v="2023-02-06T00:00:00"/>
    <s v="Charlie"/>
    <s v="East"/>
    <n v="6242.69"/>
    <n v="26"/>
    <x v="3"/>
    <n v="4266.3599999999997"/>
    <n v="4331.4299999999903"/>
    <s v="Returning"/>
    <n v="0.14000000000000001"/>
    <s v="Credit Card"/>
    <s v="Retail"/>
    <s v="East-Charlie"/>
    <n v="110925.35999999999"/>
    <n v="112617.17999999975"/>
    <n v="1691.8199999997596"/>
  </r>
  <r>
    <n v="1070"/>
    <d v="2023-11-12T00:00:00"/>
    <s v="Bob"/>
    <s v="South"/>
    <n v="7448.31"/>
    <n v="9"/>
    <x v="3"/>
    <n v="310.24"/>
    <n v="451.81"/>
    <s v="Returning"/>
    <n v="0.1"/>
    <s v="Cash"/>
    <s v="Retail"/>
    <s v="South-Bob"/>
    <n v="2792.16"/>
    <n v="4066.29"/>
    <n v="1274.1300000000001"/>
  </r>
  <r>
    <n v="1031"/>
    <d v="2023-06-25T00:00:00"/>
    <s v="Alice"/>
    <s v="West"/>
    <n v="1781.82"/>
    <n v="10"/>
    <x v="3"/>
    <n v="566.86"/>
    <n v="818.14"/>
    <s v="Returning"/>
    <n v="0.25"/>
    <s v="Credit Card"/>
    <s v="Retail"/>
    <s v="West-Alice"/>
    <n v="5668.6"/>
    <n v="8181.4"/>
    <n v="2512.7999999999993"/>
  </r>
  <r>
    <n v="1019"/>
    <d v="2023-10-11T00:00:00"/>
    <s v="Eve"/>
    <s v="South"/>
    <n v="2030.25"/>
    <n v="32"/>
    <x v="3"/>
    <n v="2866.47"/>
    <n v="3286.47"/>
    <s v="New"/>
    <n v="0.09"/>
    <s v="Credit Card"/>
    <s v="Online"/>
    <s v="South-Eve"/>
    <n v="91727.039999999994"/>
    <n v="105167.03999999999"/>
    <n v="13440"/>
  </r>
  <r>
    <n v="1061"/>
    <d v="2023-03-22T00:00:00"/>
    <s v="Alice"/>
    <s v="East"/>
    <n v="8915.0499999999993"/>
    <n v="34"/>
    <x v="2"/>
    <n v="2680.82"/>
    <n v="2771.02"/>
    <s v="New"/>
    <n v="0.2"/>
    <s v="Bank Transfer"/>
    <s v="Online"/>
    <s v="East-Alice"/>
    <n v="91147.88"/>
    <n v="94214.68"/>
    <n v="3066.7999999999884"/>
  </r>
  <r>
    <n v="1054"/>
    <d v="2023-04-24T00:00:00"/>
    <s v="David"/>
    <s v="North"/>
    <n v="7524.78"/>
    <n v="48"/>
    <x v="1"/>
    <n v="2316.92"/>
    <n v="2462.63"/>
    <s v="New"/>
    <n v="0.04"/>
    <s v="Credit Card"/>
    <s v="Online"/>
    <s v="North-David"/>
    <n v="111212.16"/>
    <n v="118206.24"/>
    <n v="6994.0800000000017"/>
  </r>
  <r>
    <n v="1039"/>
    <d v="2023-02-09T00:00:00"/>
    <s v="David"/>
    <s v="South"/>
    <n v="9091.4599999999991"/>
    <n v="20"/>
    <x v="1"/>
    <n v="2014.11"/>
    <n v="2056.35"/>
    <s v="Returning"/>
    <n v="0.21"/>
    <s v="Bank Transfer"/>
    <s v="Retail"/>
    <s v="South-David"/>
    <n v="40282.199999999997"/>
    <n v="41127"/>
    <n v="844.80000000000291"/>
  </r>
  <r>
    <n v="1091"/>
    <d v="2023-10-28T00:00:00"/>
    <s v="Bob"/>
    <s v="West"/>
    <n v="7611.28"/>
    <n v="39"/>
    <x v="0"/>
    <n v="2184.4899999999998"/>
    <n v="2540.4199999999901"/>
    <s v="Returning"/>
    <n v="0.27"/>
    <s v="Bank Transfer"/>
    <s v="Online"/>
    <s v="West-Bob"/>
    <n v="85195.109999999986"/>
    <n v="99076.379999999612"/>
    <n v="13881.269999999626"/>
  </r>
  <r>
    <n v="1074"/>
    <d v="2023-08-12T00:00:00"/>
    <s v="Bob"/>
    <s v="East"/>
    <n v="6011.84"/>
    <n v="2"/>
    <x v="1"/>
    <n v="2868.02"/>
    <n v="2994.74"/>
    <s v="Returning"/>
    <n v="0.18"/>
    <s v="Bank Transfer"/>
    <s v="Online"/>
    <s v="East-Bob"/>
    <n v="5736.04"/>
    <n v="5989.48"/>
    <n v="253.4399999999996"/>
  </r>
  <r>
    <n v="1090"/>
    <d v="2023-11-14T00:00:00"/>
    <s v="Bob"/>
    <s v="East"/>
    <n v="6575.91"/>
    <n v="1"/>
    <x v="2"/>
    <n v="60.28"/>
    <n v="260.73"/>
    <s v="Returning"/>
    <n v="0.17"/>
    <s v="Cash"/>
    <s v="Online"/>
    <s v="East-Bob"/>
    <n v="60.28"/>
    <n v="260.73"/>
    <n v="200.45000000000002"/>
  </r>
  <r>
    <n v="1019"/>
    <d v="2023-12-15T00:00:00"/>
    <s v="David"/>
    <s v="East"/>
    <n v="8902.3700000000008"/>
    <n v="36"/>
    <x v="2"/>
    <n v="1340.51"/>
    <n v="1567.92"/>
    <s v="New"/>
    <n v="0.28999999999999998"/>
    <s v="Cash"/>
    <s v="Online"/>
    <s v="East-David"/>
    <n v="48258.36"/>
    <n v="56445.120000000003"/>
    <n v="8186.760000000002"/>
  </r>
  <r>
    <n v="1039"/>
    <d v="2023-04-25T00:00:00"/>
    <s v="Alice"/>
    <s v="East"/>
    <n v="5830.19"/>
    <n v="24"/>
    <x v="2"/>
    <n v="2615.48"/>
    <n v="3062.22"/>
    <s v="New"/>
    <n v="0.19"/>
    <s v="Bank Transfer"/>
    <s v="Retail"/>
    <s v="East-Alice"/>
    <n v="62771.520000000004"/>
    <n v="73493.279999999999"/>
    <n v="10721.759999999995"/>
  </r>
  <r>
    <n v="1067"/>
    <d v="2023-07-05T00:00:00"/>
    <s v="Alice"/>
    <s v="West"/>
    <n v="6360.67"/>
    <n v="27"/>
    <x v="0"/>
    <n v="3624.97"/>
    <n v="3836.52"/>
    <s v="New"/>
    <n v="0.08"/>
    <s v="Cash"/>
    <s v="Online"/>
    <s v="West-Alice"/>
    <n v="97874.189999999988"/>
    <n v="103586.04"/>
    <n v="5711.8500000000058"/>
  </r>
  <r>
    <n v="1045"/>
    <d v="2023-11-19T00:00:00"/>
    <s v="Bob"/>
    <s v="North"/>
    <n v="1649.12"/>
    <n v="2"/>
    <x v="3"/>
    <n v="912.08"/>
    <n v="993.24"/>
    <s v="Returning"/>
    <n v="0.09"/>
    <s v="Credit Card"/>
    <s v="Online"/>
    <s v="North-Bob"/>
    <n v="1824.16"/>
    <n v="1986.48"/>
    <n v="162.31999999999994"/>
  </r>
  <r>
    <n v="1013"/>
    <d v="2023-02-25T00:00:00"/>
    <s v="Eve"/>
    <s v="East"/>
    <n v="4791.82"/>
    <n v="31"/>
    <x v="1"/>
    <n v="2757.06"/>
    <n v="3023.97"/>
    <s v="Returning"/>
    <n v="0.21"/>
    <s v="Cash"/>
    <s v="Online"/>
    <s v="East-Eve"/>
    <n v="85468.86"/>
    <n v="93743.069999999992"/>
    <n v="8274.2099999999919"/>
  </r>
  <r>
    <n v="1092"/>
    <d v="2023-02-09T00:00:00"/>
    <s v="Alice"/>
    <s v="South"/>
    <n v="7192.33"/>
    <n v="14"/>
    <x v="2"/>
    <n v="3586.58"/>
    <n v="4068.43"/>
    <s v="New"/>
    <n v="0.22"/>
    <s v="Credit Card"/>
    <s v="Online"/>
    <s v="South-Alice"/>
    <n v="50212.119999999995"/>
    <n v="56958.02"/>
    <n v="6745.9000000000015"/>
  </r>
  <r>
    <n v="1058"/>
    <d v="2023-12-20T00:00:00"/>
    <s v="David"/>
    <s v="North"/>
    <n v="2782.33"/>
    <n v="2"/>
    <x v="2"/>
    <n v="2250.91"/>
    <n v="2558.6799999999998"/>
    <s v="New"/>
    <n v="0.09"/>
    <s v="Credit Card"/>
    <s v="Retail"/>
    <s v="North-David"/>
    <n v="4501.82"/>
    <n v="5117.3599999999997"/>
    <n v="615.54"/>
  </r>
  <r>
    <n v="1020"/>
    <d v="2023-02-09T00:00:00"/>
    <s v="Charlie"/>
    <s v="East"/>
    <n v="2102.3200000000002"/>
    <n v="29"/>
    <x v="3"/>
    <n v="184.05"/>
    <n v="675.91"/>
    <s v="Returning"/>
    <n v="0.1"/>
    <s v="Cash"/>
    <s v="Retail"/>
    <s v="East-Charlie"/>
    <n v="5337.4500000000007"/>
    <n v="19601.39"/>
    <n v="14263.939999999999"/>
  </r>
  <r>
    <n v="1092"/>
    <d v="2023-12-13T00:00:00"/>
    <s v="Charlie"/>
    <s v="North"/>
    <n v="3206.89"/>
    <n v="15"/>
    <x v="2"/>
    <n v="2273.88"/>
    <n v="2696.02"/>
    <s v="New"/>
    <n v="0.3"/>
    <s v="Cash"/>
    <s v="Online"/>
    <s v="North-Charlie"/>
    <n v="34108.200000000004"/>
    <n v="40440.300000000003"/>
    <n v="6332.0999999999985"/>
  </r>
  <r>
    <n v="1072"/>
    <d v="2023-08-25T00:00:00"/>
    <s v="Charlie"/>
    <s v="South"/>
    <n v="2490.86"/>
    <n v="12"/>
    <x v="1"/>
    <n v="1517.4"/>
    <n v="1545.02"/>
    <s v="New"/>
    <n v="0.03"/>
    <s v="Bank Transfer"/>
    <s v="Retail"/>
    <s v="South-Charlie"/>
    <n v="18208.800000000003"/>
    <n v="18540.239999999998"/>
    <n v="331.43999999999505"/>
  </r>
  <r>
    <n v="1061"/>
    <d v="2023-10-16T00:00:00"/>
    <s v="Eve"/>
    <s v="East"/>
    <n v="2227.64"/>
    <n v="37"/>
    <x v="0"/>
    <n v="4651.7700000000004"/>
    <n v="4984.3900000000003"/>
    <s v="Returning"/>
    <n v="0.12"/>
    <s v="Cash"/>
    <s v="Retail"/>
    <s v="East-Eve"/>
    <n v="172115.49000000002"/>
    <n v="184422.43000000002"/>
    <n v="12306.940000000002"/>
  </r>
  <r>
    <n v="1039"/>
    <d v="2023-09-19T00:00:00"/>
    <s v="Bob"/>
    <s v="South"/>
    <n v="4306.0200000000004"/>
    <n v="28"/>
    <x v="2"/>
    <n v="666.84"/>
    <n v="817.36"/>
    <s v="Returning"/>
    <n v="0.02"/>
    <s v="Cash"/>
    <s v="Retail"/>
    <s v="South-Bob"/>
    <n v="18671.52"/>
    <n v="22886.080000000002"/>
    <n v="4214.5600000000013"/>
  </r>
  <r>
    <n v="1001"/>
    <d v="2023-08-04T00:00:00"/>
    <s v="David"/>
    <s v="West"/>
    <n v="9087.6"/>
    <n v="20"/>
    <x v="1"/>
    <n v="3279.76"/>
    <n v="3563.97"/>
    <s v="Returning"/>
    <n v="0.25"/>
    <s v="Cash"/>
    <s v="Retail"/>
    <s v="West-David"/>
    <n v="65595.200000000012"/>
    <n v="71279.399999999994"/>
    <n v="5684.1999999999825"/>
  </r>
  <r>
    <n v="1003"/>
    <d v="2023-05-27T00:00:00"/>
    <s v="Eve"/>
    <s v="East"/>
    <n v="5119.8900000000003"/>
    <n v="39"/>
    <x v="2"/>
    <n v="310.95999999999998"/>
    <n v="457.84"/>
    <s v="New"/>
    <n v="0.03"/>
    <s v="Credit Card"/>
    <s v="Online"/>
    <s v="East-Eve"/>
    <n v="12127.439999999999"/>
    <n v="17855.759999999998"/>
    <n v="5728.32"/>
  </r>
  <r>
    <n v="1077"/>
    <d v="2023-12-02T00:00:00"/>
    <s v="David"/>
    <s v="East"/>
    <n v="1960.41"/>
    <n v="24"/>
    <x v="3"/>
    <n v="2258.54"/>
    <n v="2439.4899999999998"/>
    <s v="Returning"/>
    <n v="0.2"/>
    <s v="Credit Card"/>
    <s v="Retail"/>
    <s v="East-David"/>
    <n v="54204.959999999999"/>
    <n v="58547.759999999995"/>
    <n v="4342.7999999999956"/>
  </r>
  <r>
    <n v="1092"/>
    <d v="2023-06-17T00:00:00"/>
    <s v="David"/>
    <s v="East"/>
    <n v="862.02"/>
    <n v="21"/>
    <x v="2"/>
    <n v="2792.2"/>
    <n v="3254.5499999999902"/>
    <s v="New"/>
    <n v="0.02"/>
    <s v="Credit Card"/>
    <s v="Retail"/>
    <s v="East-David"/>
    <n v="58636.2"/>
    <n v="68345.549999999799"/>
    <n v="9709.3499999998021"/>
  </r>
  <r>
    <n v="1062"/>
    <d v="2023-04-02T00:00:00"/>
    <s v="Bob"/>
    <s v="East"/>
    <n v="6991.95"/>
    <n v="10"/>
    <x v="2"/>
    <n v="1524.88"/>
    <n v="1636.14"/>
    <s v="New"/>
    <n v="0.2"/>
    <s v="Bank Transfer"/>
    <s v="Online"/>
    <s v="East-Bob"/>
    <n v="15248.800000000001"/>
    <n v="16361.400000000001"/>
    <n v="1112.6000000000004"/>
  </r>
  <r>
    <n v="1063"/>
    <d v="2023-12-19T00:00:00"/>
    <s v="Charlie"/>
    <s v="West"/>
    <n v="3889.71"/>
    <n v="46"/>
    <x v="0"/>
    <n v="2302.62"/>
    <n v="2740.93"/>
    <s v="Returning"/>
    <n v="0.25"/>
    <s v="Bank Transfer"/>
    <s v="Online"/>
    <s v="West-Charlie"/>
    <n v="105920.51999999999"/>
    <n v="126082.78"/>
    <n v="20162.260000000009"/>
  </r>
  <r>
    <n v="1025"/>
    <d v="2023-02-28T00:00:00"/>
    <s v="Bob"/>
    <s v="East"/>
    <n v="8236.1299999999992"/>
    <n v="14"/>
    <x v="3"/>
    <n v="859.59"/>
    <n v="884.51"/>
    <s v="New"/>
    <n v="0.12"/>
    <s v="Bank Transfer"/>
    <s v="Online"/>
    <s v="East-Bob"/>
    <n v="12034.26"/>
    <n v="12383.14"/>
    <n v="348.8799999999992"/>
  </r>
  <r>
    <n v="1056"/>
    <d v="2023-02-28T00:00:00"/>
    <s v="Eve"/>
    <s v="North"/>
    <n v="6629.16"/>
    <n v="37"/>
    <x v="3"/>
    <n v="1555.41"/>
    <n v="1609.94"/>
    <s v="Returning"/>
    <n v="0.16"/>
    <s v="Credit Card"/>
    <s v="Online"/>
    <s v="North-Eve"/>
    <n v="57550.170000000006"/>
    <n v="59567.78"/>
    <n v="2017.6099999999933"/>
  </r>
  <r>
    <n v="1033"/>
    <d v="2023-10-31T00:00:00"/>
    <s v="Eve"/>
    <s v="East"/>
    <n v="7982.79"/>
    <n v="18"/>
    <x v="0"/>
    <n v="3124.48"/>
    <n v="3553.27"/>
    <s v="Returning"/>
    <n v="0.12"/>
    <s v="Cash"/>
    <s v="Retail"/>
    <s v="East-Eve"/>
    <n v="56240.639999999999"/>
    <n v="63958.86"/>
    <n v="7718.2200000000012"/>
  </r>
  <r>
    <n v="1038"/>
    <d v="2023-06-18T00:00:00"/>
    <s v="Eve"/>
    <s v="West"/>
    <n v="2792.27"/>
    <n v="24"/>
    <x v="2"/>
    <n v="1543.91"/>
    <n v="1862.88"/>
    <s v="New"/>
    <n v="0.09"/>
    <s v="Bank Transfer"/>
    <s v="Online"/>
    <s v="West-Eve"/>
    <n v="37053.840000000004"/>
    <n v="44709.120000000003"/>
    <n v="7655.2799999999988"/>
  </r>
  <r>
    <n v="1006"/>
    <d v="2023-09-26T00:00:00"/>
    <s v="Bob"/>
    <s v="East"/>
    <n v="6954.35"/>
    <n v="14"/>
    <x v="1"/>
    <n v="4503.7299999999996"/>
    <n v="4879.8799999999901"/>
    <s v="New"/>
    <n v="0.24"/>
    <s v="Bank Transfer"/>
    <s v="Retail"/>
    <s v="East-Bob"/>
    <n v="63052.219999999994"/>
    <n v="68318.319999999861"/>
    <n v="5266.0999999998676"/>
  </r>
  <r>
    <n v="1058"/>
    <d v="2023-12-29T00:00:00"/>
    <s v="David"/>
    <s v="North"/>
    <n v="2714.21"/>
    <n v="34"/>
    <x v="3"/>
    <n v="3160.61"/>
    <n v="3273.22"/>
    <s v="Returning"/>
    <n v="0.08"/>
    <s v="Credit Card"/>
    <s v="Retail"/>
    <s v="North-David"/>
    <n v="107460.74"/>
    <n v="111289.48"/>
    <n v="3828.7399999999907"/>
  </r>
  <r>
    <n v="1044"/>
    <d v="2023-02-14T00:00:00"/>
    <s v="David"/>
    <s v="West"/>
    <n v="9396.7800000000007"/>
    <n v="12"/>
    <x v="3"/>
    <n v="2221.31"/>
    <n v="2494.48"/>
    <s v="Returning"/>
    <n v="0.22"/>
    <s v="Bank Transfer"/>
    <s v="Online"/>
    <s v="West-David"/>
    <n v="26655.72"/>
    <n v="29933.760000000002"/>
    <n v="3278.0400000000009"/>
  </r>
  <r>
    <n v="1045"/>
    <d v="2023-12-11T00:00:00"/>
    <s v="Alice"/>
    <s v="West"/>
    <n v="6400.11"/>
    <n v="22"/>
    <x v="2"/>
    <n v="241.85"/>
    <n v="613.09"/>
    <s v="Returning"/>
    <n v="0.06"/>
    <s v="Cash"/>
    <s v="Online"/>
    <s v="West-Alice"/>
    <n v="5320.7"/>
    <n v="13487.980000000001"/>
    <n v="8167.2800000000016"/>
  </r>
  <r>
    <n v="1032"/>
    <d v="2023-06-30T00:00:00"/>
    <s v="Eve"/>
    <s v="North"/>
    <n v="3312.67"/>
    <n v="6"/>
    <x v="2"/>
    <n v="2522.7600000000002"/>
    <n v="2840.14"/>
    <s v="Returning"/>
    <n v="7.0000000000000007E-2"/>
    <s v="Credit Card"/>
    <s v="Retail"/>
    <s v="North-Eve"/>
    <n v="15136.560000000001"/>
    <n v="17040.84"/>
    <n v="1904.2799999999988"/>
  </r>
  <r>
    <n v="1045"/>
    <d v="2023-06-19T00:00:00"/>
    <s v="David"/>
    <s v="North"/>
    <n v="2768.17"/>
    <n v="36"/>
    <x v="3"/>
    <n v="3835.64"/>
    <n v="4076.77"/>
    <s v="Returning"/>
    <n v="0.1"/>
    <s v="Credit Card"/>
    <s v="Retail"/>
    <s v="North-David"/>
    <n v="138083.04"/>
    <n v="146763.72"/>
    <n v="8680.679999999993"/>
  </r>
  <r>
    <n v="1061"/>
    <d v="2023-12-22T00:00:00"/>
    <s v="Alice"/>
    <s v="North"/>
    <n v="1990.17"/>
    <n v="45"/>
    <x v="2"/>
    <n v="1364.51"/>
    <n v="1844.8"/>
    <s v="Returning"/>
    <n v="0.18"/>
    <s v="Cash"/>
    <s v="Online"/>
    <s v="North-Alice"/>
    <n v="61402.95"/>
    <n v="83016"/>
    <n v="21613.050000000003"/>
  </r>
  <r>
    <n v="1047"/>
    <d v="2023-07-10T00:00:00"/>
    <s v="David"/>
    <s v="North"/>
    <n v="6976.95"/>
    <n v="36"/>
    <x v="1"/>
    <n v="4043.53"/>
    <n v="4384.8500000000004"/>
    <s v="New"/>
    <n v="0.14000000000000001"/>
    <s v="Cash"/>
    <s v="Online"/>
    <s v="North-David"/>
    <n v="145567.08000000002"/>
    <n v="157854.6"/>
    <n v="12287.51999999999"/>
  </r>
  <r>
    <n v="1021"/>
    <d v="2023-06-04T00:00:00"/>
    <s v="Eve"/>
    <s v="North"/>
    <n v="2265.2800000000002"/>
    <n v="22"/>
    <x v="3"/>
    <n v="1296.44"/>
    <n v="1751.24"/>
    <s v="New"/>
    <n v="0.22"/>
    <s v="Cash"/>
    <s v="Online"/>
    <s v="North-Eve"/>
    <n v="28521.68"/>
    <n v="38527.279999999999"/>
    <n v="10005.599999999999"/>
  </r>
  <r>
    <n v="1080"/>
    <d v="2023-07-07T00:00:00"/>
    <s v="Charlie"/>
    <s v="West"/>
    <n v="5993.5"/>
    <n v="14"/>
    <x v="1"/>
    <n v="4127.54"/>
    <n v="4495.13"/>
    <s v="New"/>
    <n v="0.06"/>
    <s v="Bank Transfer"/>
    <s v="Retail"/>
    <s v="West-Charlie"/>
    <n v="57785.56"/>
    <n v="62931.82"/>
    <n v="5146.260000000002"/>
  </r>
  <r>
    <n v="1085"/>
    <d v="2023-01-07T00:00:00"/>
    <s v="Eve"/>
    <s v="West"/>
    <n v="2719.89"/>
    <n v="16"/>
    <x v="1"/>
    <n v="472.08"/>
    <n v="842.46"/>
    <s v="New"/>
    <n v="0"/>
    <s v="Cash"/>
    <s v="Retail"/>
    <s v="West-Eve"/>
    <n v="7553.28"/>
    <n v="13479.36"/>
    <n v="5926.0800000000008"/>
  </r>
  <r>
    <n v="1075"/>
    <d v="2023-05-13T00:00:00"/>
    <s v="Bob"/>
    <s v="East"/>
    <n v="6653.49"/>
    <n v="36"/>
    <x v="2"/>
    <n v="4337.6099999999997"/>
    <n v="4386.82"/>
    <s v="Returning"/>
    <n v="0.23"/>
    <s v="Credit Card"/>
    <s v="Online"/>
    <s v="East-Bob"/>
    <n v="156153.96"/>
    <n v="157925.51999999999"/>
    <n v="1771.5599999999977"/>
  </r>
  <r>
    <n v="1036"/>
    <d v="2023-08-23T00:00:00"/>
    <s v="David"/>
    <s v="East"/>
    <n v="8167.9"/>
    <n v="25"/>
    <x v="1"/>
    <n v="2520.9699999999998"/>
    <n v="2707.1099999999901"/>
    <s v="New"/>
    <n v="0.25"/>
    <s v="Cash"/>
    <s v="Retail"/>
    <s v="East-David"/>
    <n v="63024.249999999993"/>
    <n v="67677.749999999753"/>
    <n v="4653.4999999997599"/>
  </r>
  <r>
    <n v="1099"/>
    <d v="2023-02-14T00:00:00"/>
    <s v="David"/>
    <s v="South"/>
    <n v="7802.45"/>
    <n v="32"/>
    <x v="2"/>
    <n v="1517.86"/>
    <n v="1948.46"/>
    <s v="New"/>
    <n v="0.02"/>
    <s v="Credit Card"/>
    <s v="Online"/>
    <s v="South-David"/>
    <n v="48571.519999999997"/>
    <n v="62350.720000000001"/>
    <n v="13779.200000000004"/>
  </r>
  <r>
    <n v="1019"/>
    <d v="2023-11-10T00:00:00"/>
    <s v="Bob"/>
    <s v="East"/>
    <n v="7632.43"/>
    <n v="33"/>
    <x v="0"/>
    <n v="1362.31"/>
    <n v="1486.29"/>
    <s v="Returning"/>
    <n v="0.18"/>
    <s v="Credit Card"/>
    <s v="Retail"/>
    <s v="East-Bob"/>
    <n v="44956.229999999996"/>
    <n v="49047.57"/>
    <n v="4091.3400000000038"/>
  </r>
  <r>
    <n v="1020"/>
    <d v="2023-09-06T00:00:00"/>
    <s v="Bob"/>
    <s v="East"/>
    <n v="1958.45"/>
    <n v="45"/>
    <x v="2"/>
    <n v="2188.4499999999998"/>
    <n v="2255.0499999999902"/>
    <s v="New"/>
    <n v="0.11"/>
    <s v="Bank Transfer"/>
    <s v="Retail"/>
    <s v="East-Bob"/>
    <n v="98480.249999999985"/>
    <n v="101477.24999999956"/>
    <n v="2996.999999999578"/>
  </r>
  <r>
    <n v="1057"/>
    <d v="2023-01-31T00:00:00"/>
    <s v="Charlie"/>
    <s v="North"/>
    <n v="975.01"/>
    <n v="36"/>
    <x v="1"/>
    <n v="4995.3"/>
    <n v="5165.09"/>
    <s v="Returning"/>
    <n v="0.24"/>
    <s v="Cash"/>
    <s v="Online"/>
    <s v="North-Charlie"/>
    <n v="179830.80000000002"/>
    <n v="185943.24"/>
    <n v="6112.4399999999732"/>
  </r>
  <r>
    <n v="1018"/>
    <d v="2023-01-23T00:00:00"/>
    <s v="David"/>
    <s v="North"/>
    <n v="7019.59"/>
    <n v="20"/>
    <x v="0"/>
    <n v="1140.6199999999999"/>
    <n v="1258.6299999999901"/>
    <s v="Returning"/>
    <n v="0.26"/>
    <s v="Bank Transfer"/>
    <s v="Online"/>
    <s v="North-David"/>
    <n v="22812.399999999998"/>
    <n v="25172.599999999802"/>
    <n v="2360.1999999998043"/>
  </r>
  <r>
    <n v="1047"/>
    <d v="2023-06-09T00:00:00"/>
    <s v="David"/>
    <s v="East"/>
    <n v="3746.64"/>
    <n v="18"/>
    <x v="2"/>
    <n v="560.91999999999996"/>
    <n v="1024.31"/>
    <s v="Returning"/>
    <n v="0.26"/>
    <s v="Cash"/>
    <s v="Online"/>
    <s v="East-David"/>
    <n v="10096.56"/>
    <n v="18437.579999999998"/>
    <n v="8341.0199999999986"/>
  </r>
  <r>
    <n v="1049"/>
    <d v="2023-12-29T00:00:00"/>
    <s v="Charlie"/>
    <s v="South"/>
    <n v="4380.2299999999996"/>
    <n v="38"/>
    <x v="1"/>
    <n v="2945.92"/>
    <n v="3381.22"/>
    <s v="Returning"/>
    <n v="0.23"/>
    <s v="Cash"/>
    <s v="Retail"/>
    <s v="South-Charlie"/>
    <n v="111944.96000000001"/>
    <n v="128486.35999999999"/>
    <n v="16541.39999999998"/>
  </r>
  <r>
    <n v="1014"/>
    <d v="2023-06-07T00:00:00"/>
    <s v="Alice"/>
    <s v="North"/>
    <n v="408.38"/>
    <n v="3"/>
    <x v="3"/>
    <n v="2468.29"/>
    <n v="2723.13"/>
    <s v="Returning"/>
    <n v="0.08"/>
    <s v="Cash"/>
    <s v="Retail"/>
    <s v="North-Alice"/>
    <n v="7404.87"/>
    <n v="8169.39"/>
    <n v="764.52000000000044"/>
  </r>
  <r>
    <n v="1015"/>
    <d v="2023-02-08T00:00:00"/>
    <s v="Charlie"/>
    <s v="East"/>
    <n v="2669.81"/>
    <n v="23"/>
    <x v="3"/>
    <n v="2644.77"/>
    <n v="2684.83"/>
    <s v="New"/>
    <n v="0.24"/>
    <s v="Cash"/>
    <s v="Online"/>
    <s v="East-Charlie"/>
    <n v="60829.71"/>
    <n v="61751.09"/>
    <n v="921.37999999999738"/>
  </r>
  <r>
    <n v="1031"/>
    <d v="2023-03-23T00:00:00"/>
    <s v="Eve"/>
    <s v="East"/>
    <n v="433.4"/>
    <n v="32"/>
    <x v="2"/>
    <n v="3351.33"/>
    <n v="3711.47"/>
    <s v="New"/>
    <n v="0.16"/>
    <s v="Cash"/>
    <s v="Retail"/>
    <s v="East-Eve"/>
    <n v="107242.56"/>
    <n v="118767.03999999999"/>
    <n v="11524.479999999996"/>
  </r>
  <r>
    <n v="1001"/>
    <d v="2023-12-22T00:00:00"/>
    <s v="David"/>
    <s v="West"/>
    <n v="8803.94"/>
    <n v="45"/>
    <x v="2"/>
    <n v="1372.36"/>
    <n v="1687.83"/>
    <s v="New"/>
    <n v="0.02"/>
    <s v="Credit Card"/>
    <s v="Online"/>
    <s v="West-David"/>
    <n v="61756.2"/>
    <n v="75952.349999999991"/>
    <n v="14196.149999999994"/>
  </r>
  <r>
    <n v="1054"/>
    <d v="2023-09-15T00:00:00"/>
    <s v="Bob"/>
    <s v="South"/>
    <n v="2509.63"/>
    <n v="16"/>
    <x v="3"/>
    <n v="4557.79"/>
    <n v="5043.3599999999997"/>
    <s v="Returning"/>
    <n v="0.14000000000000001"/>
    <s v="Credit Card"/>
    <s v="Retail"/>
    <s v="South-Bob"/>
    <n v="72924.639999999999"/>
    <n v="80693.759999999995"/>
    <n v="7769.1199999999953"/>
  </r>
  <r>
    <n v="1003"/>
    <d v="2023-07-25T00:00:00"/>
    <s v="Eve"/>
    <s v="West"/>
    <n v="5617.64"/>
    <n v="5"/>
    <x v="1"/>
    <n v="2206.58"/>
    <n v="2490.4699999999998"/>
    <s v="New"/>
    <n v="0.28000000000000003"/>
    <s v="Cash"/>
    <s v="Online"/>
    <s v="West-Eve"/>
    <n v="11032.9"/>
    <n v="12452.349999999999"/>
    <n v="1419.4499999999989"/>
  </r>
  <r>
    <n v="1016"/>
    <d v="2023-03-18T00:00:00"/>
    <s v="David"/>
    <s v="South"/>
    <n v="485.9"/>
    <n v="4"/>
    <x v="1"/>
    <n v="688.98"/>
    <n v="863.81"/>
    <s v="New"/>
    <n v="0.27"/>
    <s v="Credit Card"/>
    <s v="Retail"/>
    <s v="South-David"/>
    <n v="2755.92"/>
    <n v="3455.24"/>
    <n v="699.31999999999971"/>
  </r>
  <r>
    <n v="1087"/>
    <d v="2023-01-12T00:00:00"/>
    <s v="Charlie"/>
    <s v="North"/>
    <n v="6701.79"/>
    <n v="21"/>
    <x v="1"/>
    <n v="3724.38"/>
    <n v="3988.7"/>
    <s v="New"/>
    <n v="0.03"/>
    <s v="Bank Transfer"/>
    <s v="Retail"/>
    <s v="North-Charlie"/>
    <n v="78211.98"/>
    <n v="83762.7"/>
    <n v="5550.7200000000012"/>
  </r>
  <r>
    <n v="1057"/>
    <d v="2023-10-22T00:00:00"/>
    <s v="Eve"/>
    <s v="South"/>
    <n v="3297.97"/>
    <n v="40"/>
    <x v="2"/>
    <n v="3233.37"/>
    <n v="3723.21"/>
    <s v="New"/>
    <n v="0.22"/>
    <s v="Bank Transfer"/>
    <s v="Retail"/>
    <s v="South-Eve"/>
    <n v="129334.79999999999"/>
    <n v="148928.4"/>
    <n v="19593.600000000006"/>
  </r>
  <r>
    <n v="1075"/>
    <d v="2023-08-12T00:00:00"/>
    <s v="David"/>
    <s v="East"/>
    <n v="8989.4"/>
    <n v="14"/>
    <x v="0"/>
    <n v="1612.93"/>
    <n v="1964.15"/>
    <s v="Returning"/>
    <n v="0.24"/>
    <s v="Bank Transfer"/>
    <s v="Retail"/>
    <s v="East-David"/>
    <n v="22581.02"/>
    <n v="27498.100000000002"/>
    <n v="4917.0800000000017"/>
  </r>
  <r>
    <n v="1012"/>
    <d v="2023-01-13T00:00:00"/>
    <s v="Alice"/>
    <s v="East"/>
    <n v="8892.3700000000008"/>
    <n v="39"/>
    <x v="0"/>
    <n v="3126.52"/>
    <n v="3465.79"/>
    <s v="New"/>
    <n v="0.08"/>
    <s v="Cash"/>
    <s v="Online"/>
    <s v="East-Alice"/>
    <n v="121934.28"/>
    <n v="135165.81"/>
    <n v="13231.529999999999"/>
  </r>
  <r>
    <n v="1074"/>
    <d v="2023-02-15T00:00:00"/>
    <s v="Alice"/>
    <s v="South"/>
    <n v="3320.38"/>
    <n v="31"/>
    <x v="0"/>
    <n v="1138.32"/>
    <n v="1266.25"/>
    <s v="Returning"/>
    <n v="0.14000000000000001"/>
    <s v="Cash"/>
    <s v="Retail"/>
    <s v="South-Alice"/>
    <n v="35287.919999999998"/>
    <n v="39253.75"/>
    <n v="3965.8300000000017"/>
  </r>
  <r>
    <n v="1096"/>
    <d v="2023-06-04T00:00:00"/>
    <s v="Bob"/>
    <s v="South"/>
    <n v="9019.51"/>
    <n v="14"/>
    <x v="0"/>
    <n v="2251.9499999999998"/>
    <n v="2626.3199999999902"/>
    <s v="Returning"/>
    <n v="0.21"/>
    <s v="Credit Card"/>
    <s v="Online"/>
    <s v="South-Bob"/>
    <n v="31527.299999999996"/>
    <n v="36768.479999999865"/>
    <n v="5241.1799999998693"/>
  </r>
  <r>
    <n v="1016"/>
    <d v="2023-04-23T00:00:00"/>
    <s v="David"/>
    <s v="South"/>
    <n v="9961.9599999999991"/>
    <n v="6"/>
    <x v="0"/>
    <n v="4502.09"/>
    <n v="4879.72"/>
    <s v="New"/>
    <n v="0.13"/>
    <s v="Credit Card"/>
    <s v="Online"/>
    <s v="South-David"/>
    <n v="27012.54"/>
    <n v="29278.32"/>
    <n v="2265.7799999999988"/>
  </r>
  <r>
    <n v="1072"/>
    <d v="2023-08-21T00:00:00"/>
    <s v="Alice"/>
    <s v="West"/>
    <n v="8271.6200000000008"/>
    <n v="12"/>
    <x v="2"/>
    <n v="710.99"/>
    <n v="876.46"/>
    <s v="Returning"/>
    <n v="0.03"/>
    <s v="Credit Card"/>
    <s v="Online"/>
    <s v="West-Alice"/>
    <n v="8531.880000000001"/>
    <n v="10517.52"/>
    <n v="1985.6399999999994"/>
  </r>
  <r>
    <n v="1076"/>
    <d v="2023-01-17T00:00:00"/>
    <s v="Charlie"/>
    <s v="South"/>
    <n v="8464.23"/>
    <n v="16"/>
    <x v="2"/>
    <n v="1964.15"/>
    <n v="2211.17"/>
    <s v="Returning"/>
    <n v="0.21"/>
    <s v="Bank Transfer"/>
    <s v="Online"/>
    <s v="South-Charlie"/>
    <n v="31426.400000000001"/>
    <n v="35378.720000000001"/>
    <n v="3952.3199999999997"/>
  </r>
  <r>
    <n v="1024"/>
    <d v="2023-12-26T00:00:00"/>
    <s v="David"/>
    <s v="North"/>
    <n v="2565.19"/>
    <n v="17"/>
    <x v="0"/>
    <n v="4114.66"/>
    <n v="4269.0199999999904"/>
    <s v="Returning"/>
    <n v="0.27"/>
    <s v="Bank Transfer"/>
    <s v="Retail"/>
    <s v="North-David"/>
    <n v="69949.22"/>
    <n v="72573.339999999836"/>
    <n v="2624.1199999998353"/>
  </r>
  <r>
    <n v="1028"/>
    <d v="2023-08-11T00:00:00"/>
    <s v="Charlie"/>
    <s v="West"/>
    <n v="5809.35"/>
    <n v="45"/>
    <x v="2"/>
    <n v="4848.9799999999996"/>
    <n v="4985.75"/>
    <s v="Returning"/>
    <n v="0.2"/>
    <s v="Bank Transfer"/>
    <s v="Online"/>
    <s v="West-Charlie"/>
    <n v="218204.09999999998"/>
    <n v="224358.75"/>
    <n v="6154.6500000000233"/>
  </r>
  <r>
    <n v="1008"/>
    <d v="2023-12-20T00:00:00"/>
    <s v="Charlie"/>
    <s v="West"/>
    <n v="765.83"/>
    <n v="23"/>
    <x v="2"/>
    <n v="2296.9299999999998"/>
    <n v="2319.62"/>
    <s v="Returning"/>
    <n v="0.23"/>
    <s v="Bank Transfer"/>
    <s v="Retail"/>
    <s v="West-Charlie"/>
    <n v="52829.39"/>
    <n v="53351.259999999995"/>
    <n v="521.86999999999534"/>
  </r>
  <r>
    <n v="1092"/>
    <d v="2023-07-07T00:00:00"/>
    <s v="Alice"/>
    <s v="South"/>
    <n v="1039.69"/>
    <n v="14"/>
    <x v="0"/>
    <n v="2559.65"/>
    <n v="2709.4"/>
    <s v="Returning"/>
    <n v="0.11"/>
    <s v="Credit Card"/>
    <s v="Retail"/>
    <s v="South-Alice"/>
    <n v="35835.1"/>
    <n v="37931.599999999999"/>
    <n v="2096.5"/>
  </r>
  <r>
    <n v="1036"/>
    <d v="2023-12-10T00:00:00"/>
    <s v="David"/>
    <s v="North"/>
    <n v="9989.0400000000009"/>
    <n v="7"/>
    <x v="1"/>
    <n v="2882.25"/>
    <n v="3163.7"/>
    <s v="Returning"/>
    <n v="0.05"/>
    <s v="Cash"/>
    <s v="Retail"/>
    <s v="North-David"/>
    <n v="20175.75"/>
    <n v="22145.899999999998"/>
    <n v="1970.1499999999978"/>
  </r>
  <r>
    <n v="1090"/>
    <d v="2023-12-31T00:00:00"/>
    <s v="Eve"/>
    <s v="West"/>
    <n v="3333.73"/>
    <n v="46"/>
    <x v="2"/>
    <n v="4665.12"/>
    <n v="4675.8999999999996"/>
    <s v="New"/>
    <n v="0.19"/>
    <s v="Cash"/>
    <s v="Retail"/>
    <s v="West-Eve"/>
    <n v="214595.52"/>
    <n v="215091.4"/>
    <n v="495.88000000000466"/>
  </r>
  <r>
    <n v="1008"/>
    <d v="2023-06-12T00:00:00"/>
    <s v="Alice"/>
    <s v="East"/>
    <n v="7507.02"/>
    <n v="32"/>
    <x v="1"/>
    <n v="4298.12"/>
    <n v="4446.8999999999996"/>
    <s v="New"/>
    <n v="0.1"/>
    <s v="Bank Transfer"/>
    <s v="Online"/>
    <s v="East-Alice"/>
    <n v="137539.84"/>
    <n v="142300.79999999999"/>
    <n v="4760.9599999999919"/>
  </r>
  <r>
    <n v="1058"/>
    <d v="2023-11-22T00:00:00"/>
    <s v="Alice"/>
    <s v="West"/>
    <n v="8085.98"/>
    <n v="15"/>
    <x v="2"/>
    <n v="894.48"/>
    <n v="1336.37"/>
    <s v="Returning"/>
    <n v="0.26"/>
    <s v="Cash"/>
    <s v="Retail"/>
    <s v="West-Alice"/>
    <n v="13417.2"/>
    <n v="20045.55"/>
    <n v="6628.3499999999985"/>
  </r>
  <r>
    <n v="1060"/>
    <d v="2023-03-15T00:00:00"/>
    <s v="David"/>
    <s v="South"/>
    <n v="8594.43"/>
    <n v="44"/>
    <x v="2"/>
    <n v="2211.9499999999998"/>
    <n v="2512.8399999999901"/>
    <s v="Returning"/>
    <n v="0.04"/>
    <s v="Cash"/>
    <s v="Online"/>
    <s v="South-David"/>
    <n v="97325.799999999988"/>
    <n v="110564.95999999957"/>
    <n v="13239.159999999581"/>
  </r>
  <r>
    <n v="1050"/>
    <d v="2023-08-21T00:00:00"/>
    <s v="David"/>
    <s v="North"/>
    <n v="9976.52"/>
    <n v="17"/>
    <x v="0"/>
    <n v="2346.8000000000002"/>
    <n v="2654.65"/>
    <s v="New"/>
    <n v="0.13"/>
    <s v="Cash"/>
    <s v="Retail"/>
    <s v="North-David"/>
    <n v="39895.600000000006"/>
    <n v="45129.05"/>
    <n v="5233.4499999999971"/>
  </r>
  <r>
    <n v="1028"/>
    <d v="2023-08-12T00:00:00"/>
    <s v="Charlie"/>
    <s v="South"/>
    <n v="2490.8200000000002"/>
    <n v="41"/>
    <x v="2"/>
    <n v="3956.03"/>
    <n v="4163.68"/>
    <s v="New"/>
    <n v="0.12"/>
    <s v="Bank Transfer"/>
    <s v="Retail"/>
    <s v="South-Charlie"/>
    <n v="162197.23000000001"/>
    <n v="170710.88"/>
    <n v="8513.6499999999942"/>
  </r>
  <r>
    <n v="1092"/>
    <d v="2023-11-15T00:00:00"/>
    <s v="David"/>
    <s v="East"/>
    <n v="499.47"/>
    <n v="47"/>
    <x v="3"/>
    <n v="3034.32"/>
    <n v="3375.79"/>
    <s v="New"/>
    <n v="0.28000000000000003"/>
    <s v="Credit Card"/>
    <s v="Online"/>
    <s v="East-David"/>
    <n v="142613.04"/>
    <n v="158662.13"/>
    <n v="16049.089999999997"/>
  </r>
  <r>
    <n v="1041"/>
    <d v="2023-03-01T00:00:00"/>
    <s v="Charlie"/>
    <s v="East"/>
    <n v="4170.8"/>
    <n v="44"/>
    <x v="3"/>
    <n v="3288.39"/>
    <n v="3391.46"/>
    <s v="New"/>
    <n v="0.05"/>
    <s v="Credit Card"/>
    <s v="Retail"/>
    <s v="East-Charlie"/>
    <n v="144689.16"/>
    <n v="149224.24"/>
    <n v="4535.0799999999872"/>
  </r>
  <r>
    <n v="1100"/>
    <d v="2023-12-01T00:00:00"/>
    <s v="Alice"/>
    <s v="East"/>
    <n v="1387.8"/>
    <n v="34"/>
    <x v="0"/>
    <n v="4991.09"/>
    <n v="5402.28"/>
    <s v="Returning"/>
    <n v="0"/>
    <s v="Cash"/>
    <s v="Retail"/>
    <s v="East-Alice"/>
    <n v="169697.06"/>
    <n v="183677.52"/>
    <n v="13980.459999999992"/>
  </r>
  <r>
    <n v="1064"/>
    <d v="2023-08-10T00:00:00"/>
    <s v="Bob"/>
    <s v="South"/>
    <n v="322.02"/>
    <n v="5"/>
    <x v="1"/>
    <n v="421.05"/>
    <n v="488.23"/>
    <s v="Returning"/>
    <n v="7.0000000000000007E-2"/>
    <s v="Credit Card"/>
    <s v="Retail"/>
    <s v="South-Bob"/>
    <n v="2105.25"/>
    <n v="2441.15"/>
    <n v="335.90000000000009"/>
  </r>
  <r>
    <n v="1027"/>
    <d v="2023-02-06T00:00:00"/>
    <s v="Eve"/>
    <s v="West"/>
    <n v="3668.23"/>
    <n v="45"/>
    <x v="1"/>
    <n v="1153.9000000000001"/>
    <n v="1485.34"/>
    <s v="New"/>
    <n v="0.25"/>
    <s v="Credit Card"/>
    <s v="Retail"/>
    <s v="West-Eve"/>
    <n v="51925.500000000007"/>
    <n v="66840.3"/>
    <n v="14914.799999999996"/>
  </r>
  <r>
    <n v="1063"/>
    <d v="2023-10-05T00:00:00"/>
    <s v="Alice"/>
    <s v="South"/>
    <n v="7859.01"/>
    <n v="27"/>
    <x v="1"/>
    <n v="2069.08"/>
    <n v="2246.2399999999998"/>
    <s v="New"/>
    <n v="0.06"/>
    <s v="Bank Transfer"/>
    <s v="Retail"/>
    <s v="South-Alice"/>
    <n v="55865.159999999996"/>
    <n v="60648.479999999996"/>
    <n v="4783.32"/>
  </r>
  <r>
    <n v="1017"/>
    <d v="2023-07-15T00:00:00"/>
    <s v="David"/>
    <s v="North"/>
    <n v="5705.19"/>
    <n v="23"/>
    <x v="3"/>
    <n v="1771.52"/>
    <n v="2147.8000000000002"/>
    <s v="New"/>
    <n v="7.0000000000000007E-2"/>
    <s v="Bank Transfer"/>
    <s v="Online"/>
    <s v="North-David"/>
    <n v="40744.959999999999"/>
    <n v="49399.4"/>
    <n v="8654.4400000000023"/>
  </r>
  <r>
    <n v="1073"/>
    <d v="2023-12-18T00:00:00"/>
    <s v="Eve"/>
    <s v="West"/>
    <n v="3196.5"/>
    <n v="40"/>
    <x v="1"/>
    <n v="157.15"/>
    <n v="436.53"/>
    <s v="New"/>
    <n v="0.04"/>
    <s v="Cash"/>
    <s v="Retail"/>
    <s v="West-Eve"/>
    <n v="6286"/>
    <n v="17461.199999999997"/>
    <n v="11175.199999999997"/>
  </r>
  <r>
    <n v="1033"/>
    <d v="2023-08-30T00:00:00"/>
    <s v="Bob"/>
    <s v="East"/>
    <n v="6577.99"/>
    <n v="14"/>
    <x v="1"/>
    <n v="504.3"/>
    <n v="735.95"/>
    <s v="Returning"/>
    <n v="0.21"/>
    <s v="Cash"/>
    <s v="Retail"/>
    <s v="East-Bob"/>
    <n v="7060.2"/>
    <n v="10303.300000000001"/>
    <n v="3243.1000000000013"/>
  </r>
  <r>
    <n v="1084"/>
    <d v="2023-11-20T00:00:00"/>
    <s v="Bob"/>
    <s v="South"/>
    <n v="2396.98"/>
    <n v="15"/>
    <x v="0"/>
    <n v="3420.72"/>
    <n v="3513.74"/>
    <s v="New"/>
    <n v="0.02"/>
    <s v="Cash"/>
    <s v="Online"/>
    <s v="South-Bob"/>
    <n v="51310.799999999996"/>
    <n v="52706.1"/>
    <n v="1395.3000000000029"/>
  </r>
  <r>
    <n v="1077"/>
    <d v="2023-08-07T00:00:00"/>
    <s v="Charlie"/>
    <s v="East"/>
    <n v="242.38"/>
    <n v="43"/>
    <x v="1"/>
    <n v="4402.66"/>
    <n v="4724.7"/>
    <s v="New"/>
    <n v="0.1"/>
    <s v="Bank Transfer"/>
    <s v="Retail"/>
    <s v="East-Charlie"/>
    <n v="189314.38"/>
    <n v="203162.1"/>
    <n v="13847.720000000001"/>
  </r>
  <r>
    <n v="1092"/>
    <d v="2023-07-11T00:00:00"/>
    <s v="Eve"/>
    <s v="East"/>
    <n v="7667.1"/>
    <n v="33"/>
    <x v="3"/>
    <n v="2595.42"/>
    <n v="3083.06"/>
    <s v="New"/>
    <n v="0.08"/>
    <s v="Credit Card"/>
    <s v="Online"/>
    <s v="East-Eve"/>
    <n v="85648.86"/>
    <n v="101740.98"/>
    <n v="16092.119999999995"/>
  </r>
  <r>
    <n v="1029"/>
    <d v="2023-01-17T00:00:00"/>
    <s v="Charlie"/>
    <s v="North"/>
    <n v="6275.06"/>
    <n v="31"/>
    <x v="3"/>
    <n v="2719"/>
    <n v="3133.55"/>
    <s v="Returning"/>
    <n v="0.17"/>
    <s v="Bank Transfer"/>
    <s v="Retail"/>
    <s v="North-Charlie"/>
    <n v="84289"/>
    <n v="97140.05"/>
    <n v="12851.050000000003"/>
  </r>
  <r>
    <n v="1013"/>
    <d v="2023-01-12T00:00:00"/>
    <s v="Alice"/>
    <s v="West"/>
    <n v="7646.8"/>
    <n v="35"/>
    <x v="3"/>
    <n v="1312.71"/>
    <n v="1352.11"/>
    <s v="Returning"/>
    <n v="0.22"/>
    <s v="Bank Transfer"/>
    <s v="Retail"/>
    <s v="West-Alice"/>
    <n v="45944.85"/>
    <n v="47323.85"/>
    <n v="1379"/>
  </r>
  <r>
    <n v="1046"/>
    <d v="2023-07-12T00:00:00"/>
    <s v="Eve"/>
    <s v="North"/>
    <n v="485.49"/>
    <n v="17"/>
    <x v="0"/>
    <n v="3850.99"/>
    <n v="4045.3399999999901"/>
    <s v="Returning"/>
    <n v="0.16"/>
    <s v="Credit Card"/>
    <s v="Online"/>
    <s v="North-Eve"/>
    <n v="65466.829999999994"/>
    <n v="68770.779999999839"/>
    <n v="3303.9499999998443"/>
  </r>
  <r>
    <n v="1035"/>
    <d v="2023-01-22T00:00:00"/>
    <s v="Alice"/>
    <s v="North"/>
    <n v="8387.48"/>
    <n v="28"/>
    <x v="0"/>
    <n v="3771.38"/>
    <n v="4234.92"/>
    <s v="New"/>
    <n v="0.28000000000000003"/>
    <s v="Credit Card"/>
    <s v="Retail"/>
    <s v="North-Alice"/>
    <n v="105598.64"/>
    <n v="118577.76000000001"/>
    <n v="12979.12000000001"/>
  </r>
  <r>
    <n v="1006"/>
    <d v="2023-04-30T00:00:00"/>
    <s v="Charlie"/>
    <s v="North"/>
    <n v="6233.31"/>
    <n v="19"/>
    <x v="2"/>
    <n v="2962.41"/>
    <n v="3218.8999999999901"/>
    <s v="New"/>
    <n v="0.28999999999999998"/>
    <s v="Cash"/>
    <s v="Retail"/>
    <s v="North-Charlie"/>
    <n v="56285.789999999994"/>
    <n v="61159.099999999809"/>
    <n v="4873.3099999998158"/>
  </r>
  <r>
    <n v="1082"/>
    <d v="2023-07-29T00:00:00"/>
    <s v="Eve"/>
    <s v="East"/>
    <n v="5677.61"/>
    <n v="46"/>
    <x v="1"/>
    <n v="1102.69"/>
    <n v="1437.12"/>
    <s v="New"/>
    <n v="0.11"/>
    <s v="Credit Card"/>
    <s v="Online"/>
    <s v="East-Eve"/>
    <n v="50723.740000000005"/>
    <n v="66107.51999999999"/>
    <n v="15383.779999999984"/>
  </r>
  <r>
    <n v="1069"/>
    <d v="2023-11-02T00:00:00"/>
    <s v="Charlie"/>
    <s v="North"/>
    <n v="6283.68"/>
    <n v="23"/>
    <x v="0"/>
    <n v="530.24"/>
    <n v="987.41"/>
    <s v="Returning"/>
    <n v="0.23"/>
    <s v="Credit Card"/>
    <s v="Online"/>
    <s v="North-Charlie"/>
    <n v="12195.52"/>
    <n v="22710.43"/>
    <n v="10514.91"/>
  </r>
  <r>
    <n v="1047"/>
    <d v="2023-09-27T00:00:00"/>
    <s v="Eve"/>
    <s v="North"/>
    <n v="8657.89"/>
    <n v="32"/>
    <x v="3"/>
    <n v="367.98"/>
    <n v="806.14"/>
    <s v="Returning"/>
    <n v="0.22"/>
    <s v="Credit Card"/>
    <s v="Retail"/>
    <s v="North-Eve"/>
    <n v="11775.36"/>
    <n v="25796.48"/>
    <n v="14021.119999999999"/>
  </r>
  <r>
    <n v="1025"/>
    <d v="2023-07-11T00:00:00"/>
    <s v="Charlie"/>
    <s v="West"/>
    <n v="5910.67"/>
    <n v="40"/>
    <x v="3"/>
    <n v="2983.85"/>
    <n v="3239.74"/>
    <s v="New"/>
    <n v="0.27"/>
    <s v="Credit Card"/>
    <s v="Online"/>
    <s v="West-Charlie"/>
    <n v="119354"/>
    <n v="129589.59999999999"/>
    <n v="10235.599999999991"/>
  </r>
  <r>
    <n v="1066"/>
    <d v="2023-06-24T00:00:00"/>
    <s v="Bob"/>
    <s v="West"/>
    <n v="5851.41"/>
    <n v="13"/>
    <x v="0"/>
    <n v="4133.92"/>
    <n v="4358.37"/>
    <s v="New"/>
    <n v="0.13"/>
    <s v="Cash"/>
    <s v="Retail"/>
    <s v="West-Bob"/>
    <n v="53740.959999999999"/>
    <n v="56658.81"/>
    <n v="2917.8499999999985"/>
  </r>
  <r>
    <n v="1010"/>
    <d v="2023-10-12T00:00:00"/>
    <s v="Charlie"/>
    <s v="North"/>
    <n v="9907.7199999999993"/>
    <n v="20"/>
    <x v="0"/>
    <n v="4298.74"/>
    <n v="4475.1899999999996"/>
    <s v="Returning"/>
    <n v="0.16"/>
    <s v="Cash"/>
    <s v="Online"/>
    <s v="North-Charlie"/>
    <n v="85974.799999999988"/>
    <n v="89503.799999999988"/>
    <n v="3529"/>
  </r>
  <r>
    <n v="1056"/>
    <d v="2023-07-23T00:00:00"/>
    <s v="Bob"/>
    <s v="West"/>
    <n v="7591.63"/>
    <n v="35"/>
    <x v="0"/>
    <n v="2344.9299999999998"/>
    <n v="2707.25"/>
    <s v="New"/>
    <n v="0.12"/>
    <s v="Credit Card"/>
    <s v="Retail"/>
    <s v="West-Bob"/>
    <n v="82072.549999999988"/>
    <n v="94753.75"/>
    <n v="12681.200000000012"/>
  </r>
  <r>
    <n v="1030"/>
    <d v="2023-06-13T00:00:00"/>
    <s v="Charlie"/>
    <s v="West"/>
    <n v="4478.71"/>
    <n v="5"/>
    <x v="2"/>
    <n v="3932.14"/>
    <n v="4082.7599999999902"/>
    <s v="New"/>
    <n v="0.26"/>
    <s v="Credit Card"/>
    <s v="Online"/>
    <s v="West-Charlie"/>
    <n v="19660.7"/>
    <n v="20413.799999999952"/>
    <n v="753.09999999995125"/>
  </r>
  <r>
    <n v="1005"/>
    <d v="2023-09-08T00:00:00"/>
    <s v="Eve"/>
    <s v="North"/>
    <n v="7103.23"/>
    <n v="9"/>
    <x v="3"/>
    <n v="4737.0600000000004"/>
    <n v="4869.5"/>
    <s v="New"/>
    <n v="7.0000000000000007E-2"/>
    <s v="Cash"/>
    <s v="Online"/>
    <s v="North-Eve"/>
    <n v="42633.54"/>
    <n v="43825.5"/>
    <n v="1191.9599999999991"/>
  </r>
  <r>
    <n v="1033"/>
    <d v="2023-08-15T00:00:00"/>
    <s v="Eve"/>
    <s v="East"/>
    <n v="3953.38"/>
    <n v="29"/>
    <x v="2"/>
    <n v="1412.09"/>
    <n v="1596.6499999999901"/>
    <s v="Returning"/>
    <n v="7.0000000000000007E-2"/>
    <s v="Cash"/>
    <s v="Online"/>
    <s v="East-Eve"/>
    <n v="40950.61"/>
    <n v="46302.849999999715"/>
    <n v="5352.2399999997142"/>
  </r>
  <r>
    <n v="1065"/>
    <d v="2023-01-07T00:00:00"/>
    <s v="Eve"/>
    <s v="North"/>
    <n v="2365.87"/>
    <n v="6"/>
    <x v="2"/>
    <n v="2019.9"/>
    <n v="2116.7399999999998"/>
    <s v="New"/>
    <n v="0.11"/>
    <s v="Credit Card"/>
    <s v="Online"/>
    <s v="North-Eve"/>
    <n v="12119.400000000001"/>
    <n v="12700.439999999999"/>
    <n v="581.03999999999724"/>
  </r>
  <r>
    <n v="1018"/>
    <d v="2023-01-29T00:00:00"/>
    <s v="David"/>
    <s v="West"/>
    <n v="6008.83"/>
    <n v="25"/>
    <x v="1"/>
    <n v="4660.82"/>
    <n v="5011.4299999999903"/>
    <s v="New"/>
    <n v="7.0000000000000007E-2"/>
    <s v="Bank Transfer"/>
    <s v="Online"/>
    <s v="West-David"/>
    <n v="116520.5"/>
    <n v="125285.74999999975"/>
    <n v="8765.2499999997526"/>
  </r>
  <r>
    <n v="1096"/>
    <d v="2023-02-02T00:00:00"/>
    <s v="Alice"/>
    <s v="East"/>
    <n v="9289"/>
    <n v="31"/>
    <x v="3"/>
    <n v="1724.24"/>
    <n v="2036.2"/>
    <s v="New"/>
    <n v="0.17"/>
    <s v="Cash"/>
    <s v="Online"/>
    <s v="East-Alice"/>
    <n v="53451.44"/>
    <n v="63122.200000000004"/>
    <n v="9670.760000000002"/>
  </r>
  <r>
    <n v="1049"/>
    <d v="2023-05-14T00:00:00"/>
    <s v="Eve"/>
    <s v="South"/>
    <n v="9298.48"/>
    <n v="22"/>
    <x v="3"/>
    <n v="4573.6899999999996"/>
    <n v="4820.2999999999902"/>
    <s v="New"/>
    <n v="0.04"/>
    <s v="Cash"/>
    <s v="Online"/>
    <s v="South-Eve"/>
    <n v="100621.18"/>
    <n v="106046.59999999979"/>
    <n v="5425.4199999997945"/>
  </r>
  <r>
    <n v="1011"/>
    <d v="2023-03-20T00:00:00"/>
    <s v="Bob"/>
    <s v="East"/>
    <n v="3484.86"/>
    <n v="2"/>
    <x v="0"/>
    <n v="4906.17"/>
    <n v="5107.43"/>
    <s v="Returning"/>
    <n v="0.1"/>
    <s v="Cash"/>
    <s v="Online"/>
    <s v="East-Bob"/>
    <n v="9812.34"/>
    <n v="10214.86"/>
    <n v="402.52000000000044"/>
  </r>
  <r>
    <n v="1085"/>
    <d v="2023-02-27T00:00:00"/>
    <s v="Eve"/>
    <s v="West"/>
    <n v="5324.01"/>
    <n v="45"/>
    <x v="0"/>
    <n v="3325.96"/>
    <n v="3781.4"/>
    <s v="Returning"/>
    <n v="0.27"/>
    <s v="Credit Card"/>
    <s v="Online"/>
    <s v="West-Eve"/>
    <n v="149668.20000000001"/>
    <n v="170163"/>
    <n v="20494.799999999988"/>
  </r>
  <r>
    <n v="1026"/>
    <d v="2023-01-26T00:00:00"/>
    <s v="David"/>
    <s v="East"/>
    <n v="2195.1999999999998"/>
    <n v="5"/>
    <x v="1"/>
    <n v="4093.61"/>
    <n v="4117.88"/>
    <s v="Returning"/>
    <n v="0.12"/>
    <s v="Credit Card"/>
    <s v="Retail"/>
    <s v="East-David"/>
    <n v="20468.05"/>
    <n v="20589.400000000001"/>
    <n v="121.35000000000218"/>
  </r>
  <r>
    <n v="1063"/>
    <d v="2023-08-14T00:00:00"/>
    <s v="Bob"/>
    <s v="North"/>
    <n v="9956.75"/>
    <n v="27"/>
    <x v="2"/>
    <n v="3760.25"/>
    <n v="4147.1099999999997"/>
    <s v="New"/>
    <n v="0.22"/>
    <s v="Cash"/>
    <s v="Online"/>
    <s v="North-Bob"/>
    <n v="101526.75"/>
    <n v="111971.96999999999"/>
    <n v="10445.219999999987"/>
  </r>
  <r>
    <n v="1089"/>
    <d v="2023-10-12T00:00:00"/>
    <s v="David"/>
    <s v="South"/>
    <n v="9813.07"/>
    <n v="25"/>
    <x v="0"/>
    <n v="3512.69"/>
    <n v="3964.63"/>
    <s v="Returning"/>
    <n v="0.03"/>
    <s v="Credit Card"/>
    <s v="Retail"/>
    <s v="South-David"/>
    <n v="87817.25"/>
    <n v="99115.75"/>
    <n v="11298.5"/>
  </r>
  <r>
    <n v="1086"/>
    <d v="2023-01-04T00:00:00"/>
    <s v="Bob"/>
    <s v="South"/>
    <n v="6530.14"/>
    <n v="8"/>
    <x v="0"/>
    <n v="1569.31"/>
    <n v="1798.02"/>
    <s v="New"/>
    <n v="7.0000000000000007E-2"/>
    <s v="Credit Card"/>
    <s v="Online"/>
    <s v="South-Bob"/>
    <n v="12554.48"/>
    <n v="14384.16"/>
    <n v="1829.6800000000003"/>
  </r>
  <r>
    <n v="1059"/>
    <d v="2023-04-09T00:00:00"/>
    <s v="Charlie"/>
    <s v="South"/>
    <n v="8063.7"/>
    <n v="1"/>
    <x v="3"/>
    <n v="332.62"/>
    <n v="612.46"/>
    <s v="Returning"/>
    <n v="0.24"/>
    <s v="Cash"/>
    <s v="Retail"/>
    <s v="South-Charlie"/>
    <n v="332.62"/>
    <n v="612.46"/>
    <n v="279.84000000000003"/>
  </r>
  <r>
    <n v="1027"/>
    <d v="2023-02-08T00:00:00"/>
    <s v="Alice"/>
    <s v="West"/>
    <n v="7179.49"/>
    <n v="20"/>
    <x v="3"/>
    <n v="1748.11"/>
    <n v="2220.9"/>
    <s v="New"/>
    <n v="0.23"/>
    <s v="Credit Card"/>
    <s v="Retail"/>
    <s v="West-Alice"/>
    <n v="34962.199999999997"/>
    <n v="44418"/>
    <n v="9455.8000000000029"/>
  </r>
  <r>
    <n v="1049"/>
    <d v="2023-09-28T00:00:00"/>
    <s v="Alice"/>
    <s v="West"/>
    <n v="5972.27"/>
    <n v="44"/>
    <x v="0"/>
    <n v="3351.33"/>
    <n v="3465.35"/>
    <s v="Returning"/>
    <n v="0.12"/>
    <s v="Bank Transfer"/>
    <s v="Online"/>
    <s v="West-Alice"/>
    <n v="147458.51999999999"/>
    <n v="152475.4"/>
    <n v="5016.8800000000047"/>
  </r>
  <r>
    <n v="1077"/>
    <d v="2023-10-12T00:00:00"/>
    <s v="David"/>
    <s v="South"/>
    <n v="628.15"/>
    <n v="23"/>
    <x v="3"/>
    <n v="557.52"/>
    <n v="822.39"/>
    <s v="Returning"/>
    <n v="0.28999999999999998"/>
    <s v="Credit Card"/>
    <s v="Online"/>
    <s v="South-David"/>
    <n v="12822.96"/>
    <n v="18914.97"/>
    <n v="6092.010000000002"/>
  </r>
  <r>
    <n v="1033"/>
    <d v="2023-06-06T00:00:00"/>
    <s v="Alice"/>
    <s v="East"/>
    <n v="4602.17"/>
    <n v="32"/>
    <x v="1"/>
    <n v="108.99"/>
    <n v="351.6"/>
    <s v="Returning"/>
    <n v="0.27"/>
    <s v="Credit Card"/>
    <s v="Retail"/>
    <s v="East-Alice"/>
    <n v="3487.68"/>
    <n v="11251.2"/>
    <n v="7763.52"/>
  </r>
  <r>
    <n v="1098"/>
    <d v="2023-03-16T00:00:00"/>
    <s v="David"/>
    <s v="South"/>
    <n v="6780.38"/>
    <n v="11"/>
    <x v="0"/>
    <n v="741.48"/>
    <n v="878.09"/>
    <s v="New"/>
    <n v="0.28999999999999998"/>
    <s v="Cash"/>
    <s v="Retail"/>
    <s v="South-David"/>
    <n v="8156.2800000000007"/>
    <n v="9658.99"/>
    <n v="1502.7099999999991"/>
  </r>
  <r>
    <n v="1099"/>
    <d v="2023-10-15T00:00:00"/>
    <s v="David"/>
    <s v="East"/>
    <n v="6807.56"/>
    <n v="39"/>
    <x v="3"/>
    <n v="3592.89"/>
    <n v="4004"/>
    <s v="New"/>
    <n v="0.13"/>
    <s v="Cash"/>
    <s v="Online"/>
    <s v="East-David"/>
    <n v="140122.71"/>
    <n v="156156"/>
    <n v="16033.290000000008"/>
  </r>
  <r>
    <n v="1001"/>
    <d v="2023-05-10T00:00:00"/>
    <s v="David"/>
    <s v="East"/>
    <n v="3793.91"/>
    <n v="47"/>
    <x v="1"/>
    <n v="4865.33"/>
    <n v="5316.13"/>
    <s v="New"/>
    <n v="0.06"/>
    <s v="Bank Transfer"/>
    <s v="Online"/>
    <s v="East-David"/>
    <n v="228670.51"/>
    <n v="249858.11000000002"/>
    <n v="21187.600000000006"/>
  </r>
  <r>
    <n v="1021"/>
    <d v="2023-06-24T00:00:00"/>
    <s v="Alice"/>
    <s v="West"/>
    <n v="9422.75"/>
    <n v="24"/>
    <x v="3"/>
    <n v="4916.17"/>
    <n v="5309.32"/>
    <s v="Returning"/>
    <n v="0.19"/>
    <s v="Credit Card"/>
    <s v="Online"/>
    <s v="West-Alice"/>
    <n v="117988.08"/>
    <n v="127423.67999999999"/>
    <n v="9435.5999999999913"/>
  </r>
  <r>
    <n v="1055"/>
    <d v="2023-03-25T00:00:00"/>
    <s v="David"/>
    <s v="East"/>
    <n v="1756.83"/>
    <n v="11"/>
    <x v="3"/>
    <n v="2495.1999999999998"/>
    <n v="2600.9299999999998"/>
    <s v="New"/>
    <n v="0.21"/>
    <s v="Bank Transfer"/>
    <s v="Retail"/>
    <s v="East-David"/>
    <n v="27447.199999999997"/>
    <n v="28610.23"/>
    <n v="1163.0300000000025"/>
  </r>
  <r>
    <n v="1006"/>
    <d v="2023-01-22T00:00:00"/>
    <s v="Alice"/>
    <s v="South"/>
    <n v="5053.5600000000004"/>
    <n v="29"/>
    <x v="3"/>
    <n v="4353.29"/>
    <n v="4405.8"/>
    <s v="New"/>
    <n v="0.04"/>
    <s v="Bank Transfer"/>
    <s v="Online"/>
    <s v="South-Alice"/>
    <n v="126245.41"/>
    <n v="127768.20000000001"/>
    <n v="1522.7900000000081"/>
  </r>
  <r>
    <n v="1092"/>
    <d v="2023-01-27T00:00:00"/>
    <s v="David"/>
    <s v="West"/>
    <n v="6939.75"/>
    <n v="26"/>
    <x v="0"/>
    <n v="3697.29"/>
    <n v="4003.96"/>
    <s v="New"/>
    <n v="0.24"/>
    <s v="Cash"/>
    <s v="Online"/>
    <s v="West-David"/>
    <n v="96129.54"/>
    <n v="104102.96"/>
    <n v="7973.4200000000128"/>
  </r>
  <r>
    <n v="1081"/>
    <d v="2023-07-14T00:00:00"/>
    <s v="Eve"/>
    <s v="North"/>
    <n v="7001.64"/>
    <n v="16"/>
    <x v="2"/>
    <n v="2530.15"/>
    <n v="2568.13"/>
    <s v="New"/>
    <n v="0.01"/>
    <s v="Credit Card"/>
    <s v="Online"/>
    <s v="North-Eve"/>
    <n v="40482.400000000001"/>
    <n v="41090.080000000002"/>
    <n v="607.68000000000029"/>
  </r>
  <r>
    <n v="1069"/>
    <d v="2023-12-03T00:00:00"/>
    <s v="David"/>
    <s v="North"/>
    <n v="6521.53"/>
    <n v="35"/>
    <x v="3"/>
    <n v="2885.16"/>
    <n v="3224.8399999999901"/>
    <s v="New"/>
    <n v="0.14000000000000001"/>
    <s v="Cash"/>
    <s v="Online"/>
    <s v="North-David"/>
    <n v="100980.59999999999"/>
    <n v="112869.39999999966"/>
    <n v="11888.799999999668"/>
  </r>
  <r>
    <n v="1095"/>
    <d v="2023-08-24T00:00:00"/>
    <s v="Bob"/>
    <s v="West"/>
    <n v="2825.35"/>
    <n v="20"/>
    <x v="1"/>
    <n v="729.27"/>
    <n v="999.18"/>
    <s v="New"/>
    <n v="0.1"/>
    <s v="Bank Transfer"/>
    <s v="Online"/>
    <s v="West-Bob"/>
    <n v="14585.4"/>
    <n v="19983.599999999999"/>
    <n v="5398.1999999999989"/>
  </r>
  <r>
    <n v="1005"/>
    <d v="2023-04-02T00:00:00"/>
    <s v="David"/>
    <s v="South"/>
    <n v="1646.45"/>
    <n v="46"/>
    <x v="0"/>
    <n v="4691.42"/>
    <n v="5026.1899999999996"/>
    <s v="Returning"/>
    <n v="0.22"/>
    <s v="Bank Transfer"/>
    <s v="Retail"/>
    <s v="South-David"/>
    <n v="215805.32"/>
    <n v="231204.74"/>
    <n v="15399.419999999984"/>
  </r>
  <r>
    <n v="1003"/>
    <d v="2023-01-21T00:00:00"/>
    <s v="Charlie"/>
    <s v="North"/>
    <n v="6395.81"/>
    <n v="3"/>
    <x v="0"/>
    <n v="1792.05"/>
    <n v="2091.23"/>
    <s v="Returning"/>
    <n v="0.09"/>
    <s v="Cash"/>
    <s v="Retail"/>
    <s v="North-Charlie"/>
    <n v="5376.15"/>
    <n v="6273.6900000000005"/>
    <n v="897.54000000000087"/>
  </r>
  <r>
    <n v="1053"/>
    <d v="2023-10-30T00:00:00"/>
    <s v="David"/>
    <s v="North"/>
    <n v="6033.09"/>
    <n v="1"/>
    <x v="1"/>
    <n v="2258.44"/>
    <n v="2475.56"/>
    <s v="New"/>
    <n v="0.25"/>
    <s v="Cash"/>
    <s v="Online"/>
    <s v="North-David"/>
    <n v="2258.44"/>
    <n v="2475.56"/>
    <n v="217.11999999999989"/>
  </r>
  <r>
    <n v="1023"/>
    <d v="2023-12-23T00:00:00"/>
    <s v="Bob"/>
    <s v="East"/>
    <n v="1875.62"/>
    <n v="47"/>
    <x v="3"/>
    <n v="3374.72"/>
    <n v="3483.1499999999901"/>
    <s v="Returning"/>
    <n v="0.18"/>
    <s v="Cash"/>
    <s v="Online"/>
    <s v="East-Bob"/>
    <n v="158611.84"/>
    <n v="163708.04999999952"/>
    <n v="5096.2099999995262"/>
  </r>
  <r>
    <n v="1053"/>
    <d v="2023-03-25T00:00:00"/>
    <s v="Bob"/>
    <s v="East"/>
    <n v="7080.88"/>
    <n v="1"/>
    <x v="2"/>
    <n v="1702.82"/>
    <n v="1862.61"/>
    <s v="Returning"/>
    <n v="0.24"/>
    <s v="Cash"/>
    <s v="Retail"/>
    <s v="East-Bob"/>
    <n v="1702.82"/>
    <n v="1862.61"/>
    <n v="159.78999999999996"/>
  </r>
  <r>
    <n v="1037"/>
    <d v="2023-09-19T00:00:00"/>
    <s v="Alice"/>
    <s v="South"/>
    <n v="4606.2"/>
    <n v="17"/>
    <x v="3"/>
    <n v="1308.58"/>
    <n v="1575.59"/>
    <s v="New"/>
    <n v="0.3"/>
    <s v="Cash"/>
    <s v="Online"/>
    <s v="South-Alice"/>
    <n v="22245.86"/>
    <n v="26785.03"/>
    <n v="4539.1699999999983"/>
  </r>
  <r>
    <n v="1074"/>
    <d v="2023-05-27T00:00:00"/>
    <s v="Eve"/>
    <s v="West"/>
    <n v="6710.83"/>
    <n v="2"/>
    <x v="1"/>
    <n v="3173.69"/>
    <n v="3503.11"/>
    <s v="New"/>
    <n v="0.2"/>
    <s v="Bank Transfer"/>
    <s v="Retail"/>
    <s v="West-Eve"/>
    <n v="6347.38"/>
    <n v="7006.22"/>
    <n v="658.84000000000015"/>
  </r>
  <r>
    <n v="1074"/>
    <d v="2023-09-14T00:00:00"/>
    <s v="David"/>
    <s v="South"/>
    <n v="8389.93"/>
    <n v="29"/>
    <x v="0"/>
    <n v="173.67"/>
    <n v="565.62"/>
    <s v="Returning"/>
    <n v="0.3"/>
    <s v="Cash"/>
    <s v="Online"/>
    <s v="South-David"/>
    <n v="5036.4299999999994"/>
    <n v="16402.98"/>
    <n v="11366.55"/>
  </r>
  <r>
    <n v="1083"/>
    <d v="2023-02-27T00:00:00"/>
    <s v="Alice"/>
    <s v="West"/>
    <n v="1780.31"/>
    <n v="20"/>
    <x v="2"/>
    <n v="3617.59"/>
    <n v="4003.5"/>
    <s v="New"/>
    <n v="0.01"/>
    <s v="Credit Card"/>
    <s v="Retail"/>
    <s v="West-Alice"/>
    <n v="72351.8"/>
    <n v="80070"/>
    <n v="7718.1999999999971"/>
  </r>
  <r>
    <n v="1017"/>
    <d v="2023-01-15T00:00:00"/>
    <s v="Eve"/>
    <s v="North"/>
    <n v="289.52999999999997"/>
    <n v="6"/>
    <x v="0"/>
    <n v="2594.42"/>
    <n v="3081.04"/>
    <s v="Returning"/>
    <n v="0.1"/>
    <s v="Bank Transfer"/>
    <s v="Retail"/>
    <s v="North-Eve"/>
    <n v="15566.52"/>
    <n v="18486.239999999998"/>
    <n v="2919.7199999999975"/>
  </r>
  <r>
    <n v="1085"/>
    <d v="2023-06-11T00:00:00"/>
    <s v="David"/>
    <s v="East"/>
    <n v="7813.12"/>
    <n v="8"/>
    <x v="1"/>
    <n v="3048.48"/>
    <n v="3198.54"/>
    <s v="Returning"/>
    <n v="0.03"/>
    <s v="Bank Transfer"/>
    <s v="Online"/>
    <s v="East-David"/>
    <n v="24387.84"/>
    <n v="25588.32"/>
    <n v="1200.4799999999996"/>
  </r>
  <r>
    <n v="1078"/>
    <d v="2023-06-12T00:00:00"/>
    <s v="Charlie"/>
    <s v="South"/>
    <n v="6136"/>
    <n v="29"/>
    <x v="3"/>
    <n v="3177.81"/>
    <n v="3222.65"/>
    <s v="Returning"/>
    <n v="0.08"/>
    <s v="Credit Card"/>
    <s v="Retail"/>
    <s v="South-Charlie"/>
    <n v="92156.49"/>
    <n v="93456.85"/>
    <n v="1300.3600000000006"/>
  </r>
  <r>
    <n v="1073"/>
    <d v="2023-11-16T00:00:00"/>
    <s v="David"/>
    <s v="South"/>
    <n v="7026.43"/>
    <n v="48"/>
    <x v="2"/>
    <n v="2658.9"/>
    <n v="2838.27"/>
    <s v="New"/>
    <n v="0.25"/>
    <s v="Credit Card"/>
    <s v="Online"/>
    <s v="South-David"/>
    <n v="127627.20000000001"/>
    <n v="136236.96"/>
    <n v="8609.7599999999802"/>
  </r>
  <r>
    <n v="1001"/>
    <d v="2023-10-08T00:00:00"/>
    <s v="Bob"/>
    <s v="West"/>
    <n v="8397.73"/>
    <n v="33"/>
    <x v="0"/>
    <n v="2933.54"/>
    <n v="3307.75"/>
    <s v="Returning"/>
    <n v="0.01"/>
    <s v="Bank Transfer"/>
    <s v="Retail"/>
    <s v="West-Bob"/>
    <n v="96806.819999999992"/>
    <n v="109155.75"/>
    <n v="12348.930000000008"/>
  </r>
  <r>
    <n v="1051"/>
    <d v="2023-10-07T00:00:00"/>
    <s v="Bob"/>
    <s v="West"/>
    <n v="8047.83"/>
    <n v="3"/>
    <x v="0"/>
    <n v="3434.75"/>
    <n v="3659.42"/>
    <s v="New"/>
    <n v="0.16"/>
    <s v="Cash"/>
    <s v="Online"/>
    <s v="West-Bob"/>
    <n v="10304.25"/>
    <n v="10978.26"/>
    <n v="674.01000000000022"/>
  </r>
  <r>
    <n v="1045"/>
    <d v="2023-01-12T00:00:00"/>
    <s v="Charlie"/>
    <s v="South"/>
    <n v="9613.11"/>
    <n v="35"/>
    <x v="0"/>
    <n v="3777.94"/>
    <n v="4188.66"/>
    <s v="New"/>
    <n v="0.17"/>
    <s v="Bank Transfer"/>
    <s v="Online"/>
    <s v="South-Charlie"/>
    <n v="132227.9"/>
    <n v="146603.1"/>
    <n v="14375.200000000012"/>
  </r>
  <r>
    <n v="1077"/>
    <d v="2023-10-01T00:00:00"/>
    <s v="Alice"/>
    <s v="West"/>
    <n v="5405.76"/>
    <n v="5"/>
    <x v="3"/>
    <n v="3650.89"/>
    <n v="3930.06"/>
    <s v="New"/>
    <n v="0.17"/>
    <s v="Bank Transfer"/>
    <s v="Online"/>
    <s v="West-Alice"/>
    <n v="18254.45"/>
    <n v="19650.3"/>
    <n v="1395.8499999999985"/>
  </r>
  <r>
    <n v="1004"/>
    <d v="2023-09-28T00:00:00"/>
    <s v="Eve"/>
    <s v="South"/>
    <n v="4936.1099999999997"/>
    <n v="27"/>
    <x v="2"/>
    <n v="4354.6000000000004"/>
    <n v="4820.2"/>
    <s v="New"/>
    <n v="0.14000000000000001"/>
    <s v="Credit Card"/>
    <s v="Retail"/>
    <s v="South-Eve"/>
    <n v="117574.20000000001"/>
    <n v="130145.4"/>
    <n v="12571.199999999983"/>
  </r>
  <r>
    <n v="1062"/>
    <d v="2023-07-27T00:00:00"/>
    <s v="David"/>
    <s v="South"/>
    <n v="4078.68"/>
    <n v="44"/>
    <x v="3"/>
    <n v="987.74"/>
    <n v="1462.19"/>
    <s v="New"/>
    <n v="0.24"/>
    <s v="Bank Transfer"/>
    <s v="Online"/>
    <s v="South-David"/>
    <n v="43460.56"/>
    <n v="64336.36"/>
    <n v="20875.800000000003"/>
  </r>
  <r>
    <n v="1065"/>
    <d v="2023-01-27T00:00:00"/>
    <s v="Bob"/>
    <s v="South"/>
    <n v="1621.54"/>
    <n v="12"/>
    <x v="3"/>
    <n v="2035.68"/>
    <n v="2079.64"/>
    <s v="Returning"/>
    <n v="0.04"/>
    <s v="Cash"/>
    <s v="Online"/>
    <s v="South-Bob"/>
    <n v="24428.16"/>
    <n v="24955.68"/>
    <n v="527.52000000000044"/>
  </r>
  <r>
    <n v="1032"/>
    <d v="2023-03-13T00:00:00"/>
    <s v="Alice"/>
    <s v="North"/>
    <n v="5768.81"/>
    <n v="20"/>
    <x v="3"/>
    <n v="4741.59"/>
    <n v="4975.2299999999996"/>
    <s v="New"/>
    <n v="0.09"/>
    <s v="Credit Card"/>
    <s v="Online"/>
    <s v="North-Alice"/>
    <n v="94831.8"/>
    <n v="99504.599999999991"/>
    <n v="4672.7999999999884"/>
  </r>
  <r>
    <n v="1034"/>
    <d v="2023-03-01T00:00:00"/>
    <s v="Charlie"/>
    <s v="West"/>
    <n v="2842.42"/>
    <n v="45"/>
    <x v="1"/>
    <n v="2013.12"/>
    <n v="2321.87"/>
    <s v="New"/>
    <n v="0.18"/>
    <s v="Bank Transfer"/>
    <s v="Retail"/>
    <s v="West-Charlie"/>
    <n v="90590.399999999994"/>
    <n v="104484.15"/>
    <n v="13893.75"/>
  </r>
  <r>
    <n v="1092"/>
    <d v="2023-05-25T00:00:00"/>
    <s v="Bob"/>
    <s v="East"/>
    <n v="9220.94"/>
    <n v="20"/>
    <x v="1"/>
    <n v="668.11"/>
    <n v="803.49"/>
    <s v="New"/>
    <n v="0.21"/>
    <s v="Bank Transfer"/>
    <s v="Online"/>
    <s v="East-Bob"/>
    <n v="13362.2"/>
    <n v="16069.8"/>
    <n v="2707.5999999999985"/>
  </r>
  <r>
    <n v="1095"/>
    <d v="2023-04-03T00:00:00"/>
    <s v="Charlie"/>
    <s v="East"/>
    <n v="5873.59"/>
    <n v="9"/>
    <x v="1"/>
    <n v="2650.95"/>
    <n v="2860.4199999999901"/>
    <s v="New"/>
    <n v="0.12"/>
    <s v="Cash"/>
    <s v="Retail"/>
    <s v="East-Charlie"/>
    <n v="23858.55"/>
    <n v="25743.779999999912"/>
    <n v="1885.2299999999123"/>
  </r>
  <r>
    <n v="1072"/>
    <d v="2023-11-05T00:00:00"/>
    <s v="David"/>
    <s v="West"/>
    <n v="5969.12"/>
    <n v="39"/>
    <x v="2"/>
    <n v="591.98"/>
    <n v="934.04"/>
    <s v="New"/>
    <n v="0.26"/>
    <s v="Bank Transfer"/>
    <s v="Retail"/>
    <s v="West-David"/>
    <n v="23087.22"/>
    <n v="36427.56"/>
    <n v="13340.339999999997"/>
  </r>
  <r>
    <n v="1039"/>
    <d v="2023-01-08T00:00:00"/>
    <s v="Eve"/>
    <s v="South"/>
    <n v="3613.75"/>
    <n v="4"/>
    <x v="3"/>
    <n v="1054.1199999999999"/>
    <n v="1175.21999999999"/>
    <s v="Returning"/>
    <n v="0.12"/>
    <s v="Bank Transfer"/>
    <s v="Retail"/>
    <s v="South-Eve"/>
    <n v="4216.4799999999996"/>
    <n v="4700.8799999999601"/>
    <n v="484.39999999996053"/>
  </r>
  <r>
    <n v="1026"/>
    <d v="2023-03-20T00:00:00"/>
    <s v="Bob"/>
    <s v="East"/>
    <n v="614.69000000000005"/>
    <n v="19"/>
    <x v="3"/>
    <n v="4991.68"/>
    <n v="5296.65"/>
    <s v="New"/>
    <n v="0.12"/>
    <s v="Bank Transfer"/>
    <s v="Online"/>
    <s v="East-Bob"/>
    <n v="94841.920000000013"/>
    <n v="100636.34999999999"/>
    <n v="5794.4299999999785"/>
  </r>
  <r>
    <n v="1034"/>
    <d v="2023-01-27T00:00:00"/>
    <s v="Bob"/>
    <s v="East"/>
    <n v="414.26"/>
    <n v="38"/>
    <x v="1"/>
    <n v="2729.75"/>
    <n v="3081.5"/>
    <s v="New"/>
    <n v="0.01"/>
    <s v="Bank Transfer"/>
    <s v="Online"/>
    <s v="East-Bob"/>
    <n v="103730.5"/>
    <n v="117097"/>
    <n v="13366.5"/>
  </r>
  <r>
    <n v="1054"/>
    <d v="2023-06-23T00:00:00"/>
    <s v="David"/>
    <s v="West"/>
    <n v="4291.0200000000004"/>
    <n v="27"/>
    <x v="3"/>
    <n v="1456.09"/>
    <n v="1510.4299999999901"/>
    <s v="Returning"/>
    <n v="0.17"/>
    <s v="Cash"/>
    <s v="Retail"/>
    <s v="West-David"/>
    <n v="39314.43"/>
    <n v="40781.609999999731"/>
    <n v="1467.1799999997311"/>
  </r>
  <r>
    <n v="1003"/>
    <d v="2023-02-19T00:00:00"/>
    <s v="Alice"/>
    <s v="East"/>
    <n v="937.2"/>
    <n v="45"/>
    <x v="3"/>
    <n v="4974.1400000000003"/>
    <n v="5227.93"/>
    <s v="New"/>
    <n v="0.21"/>
    <s v="Bank Transfer"/>
    <s v="Online"/>
    <s v="East-Alice"/>
    <n v="223836.30000000002"/>
    <n v="235256.85"/>
    <n v="11420.549999999988"/>
  </r>
  <r>
    <n v="1050"/>
    <d v="2023-07-18T00:00:00"/>
    <s v="Eve"/>
    <s v="South"/>
    <n v="6107.78"/>
    <n v="43"/>
    <x v="0"/>
    <n v="4834.47"/>
    <n v="4973.38"/>
    <s v="Returning"/>
    <n v="0.03"/>
    <s v="Bank Transfer"/>
    <s v="Online"/>
    <s v="South-Eve"/>
    <n v="207882.21000000002"/>
    <n v="213855.34"/>
    <n v="5973.1299999999756"/>
  </r>
  <r>
    <n v="1012"/>
    <d v="2023-12-15T00:00:00"/>
    <s v="Bob"/>
    <s v="West"/>
    <n v="8821.6299999999992"/>
    <n v="13"/>
    <x v="3"/>
    <n v="2231.66"/>
    <n v="2596.6099999999901"/>
    <s v="Returning"/>
    <n v="0.09"/>
    <s v="Bank Transfer"/>
    <s v="Retail"/>
    <s v="West-Bob"/>
    <n v="29011.579999999998"/>
    <n v="33755.929999999869"/>
    <n v="4744.3499999998712"/>
  </r>
  <r>
    <n v="1065"/>
    <d v="2023-06-30T00:00:00"/>
    <s v="Eve"/>
    <s v="South"/>
    <n v="8840.86"/>
    <n v="13"/>
    <x v="0"/>
    <n v="1339"/>
    <n v="1441.88"/>
    <s v="Returning"/>
    <n v="0.23"/>
    <s v="Credit Card"/>
    <s v="Retail"/>
    <s v="South-Eve"/>
    <n v="17407"/>
    <n v="18744.440000000002"/>
    <n v="1337.4400000000023"/>
  </r>
  <r>
    <n v="1054"/>
    <d v="2023-01-24T00:00:00"/>
    <s v="Bob"/>
    <s v="East"/>
    <n v="6624.55"/>
    <n v="22"/>
    <x v="3"/>
    <n v="4200.08"/>
    <n v="4647.28"/>
    <s v="Returning"/>
    <n v="0.11"/>
    <s v="Cash"/>
    <s v="Online"/>
    <s v="East-Bob"/>
    <n v="92401.76"/>
    <n v="102240.15999999999"/>
    <n v="9838.3999999999942"/>
  </r>
  <r>
    <n v="1005"/>
    <d v="2023-11-12T00:00:00"/>
    <s v="Eve"/>
    <s v="East"/>
    <n v="2191.1999999999998"/>
    <n v="28"/>
    <x v="2"/>
    <n v="3592.32"/>
    <n v="3813.48"/>
    <s v="New"/>
    <n v="7.0000000000000007E-2"/>
    <s v="Credit Card"/>
    <s v="Retail"/>
    <s v="East-Eve"/>
    <n v="100584.96000000001"/>
    <n v="106777.44"/>
    <n v="6192.4799999999959"/>
  </r>
  <r>
    <n v="1094"/>
    <d v="2023-02-15T00:00:00"/>
    <s v="Charlie"/>
    <s v="South"/>
    <n v="8643.67"/>
    <n v="47"/>
    <x v="1"/>
    <n v="3450.36"/>
    <n v="3557.38"/>
    <s v="New"/>
    <n v="0.2"/>
    <s v="Credit Card"/>
    <s v="Online"/>
    <s v="South-Charlie"/>
    <n v="162166.92000000001"/>
    <n v="167196.86000000002"/>
    <n v="5029.9400000000023"/>
  </r>
  <r>
    <n v="1094"/>
    <d v="2023-01-15T00:00:00"/>
    <s v="Bob"/>
    <s v="North"/>
    <n v="8872.33"/>
    <n v="45"/>
    <x v="0"/>
    <n v="4470.91"/>
    <n v="4695.54"/>
    <s v="Returning"/>
    <n v="0.06"/>
    <s v="Cash"/>
    <s v="Retail"/>
    <s v="North-Bob"/>
    <n v="201190.94999999998"/>
    <n v="211299.3"/>
    <n v="10108.350000000006"/>
  </r>
  <r>
    <n v="1057"/>
    <d v="2023-06-02T00:00:00"/>
    <s v="Eve"/>
    <s v="East"/>
    <n v="2046.87"/>
    <n v="22"/>
    <x v="1"/>
    <n v="3462.61"/>
    <n v="3672.89"/>
    <s v="Returning"/>
    <n v="0.27"/>
    <s v="Credit Card"/>
    <s v="Online"/>
    <s v="East-Eve"/>
    <n v="76177.42"/>
    <n v="80803.58"/>
    <n v="4626.1600000000035"/>
  </r>
  <r>
    <n v="1017"/>
    <d v="2023-08-10T00:00:00"/>
    <s v="Alice"/>
    <s v="North"/>
    <n v="7400.52"/>
    <n v="43"/>
    <x v="0"/>
    <n v="1454.8"/>
    <n v="1674.97"/>
    <s v="New"/>
    <n v="0.03"/>
    <s v="Credit Card"/>
    <s v="Online"/>
    <s v="North-Alice"/>
    <n v="62556.4"/>
    <n v="72023.710000000006"/>
    <n v="9467.3100000000049"/>
  </r>
  <r>
    <n v="1047"/>
    <d v="2023-07-25T00:00:00"/>
    <s v="Charlie"/>
    <s v="East"/>
    <n v="2936.54"/>
    <n v="19"/>
    <x v="0"/>
    <n v="3484.62"/>
    <n v="3781.5499999999902"/>
    <s v="Returning"/>
    <n v="0.21"/>
    <s v="Credit Card"/>
    <s v="Retail"/>
    <s v="East-Charlie"/>
    <n v="66207.78"/>
    <n v="71849.449999999808"/>
    <n v="5641.6699999998091"/>
  </r>
  <r>
    <n v="1023"/>
    <d v="2023-09-30T00:00:00"/>
    <s v="Charlie"/>
    <s v="North"/>
    <n v="8046.14"/>
    <n v="8"/>
    <x v="0"/>
    <n v="1563.78"/>
    <n v="1829.1599999999901"/>
    <s v="Returning"/>
    <n v="0.15"/>
    <s v="Cash"/>
    <s v="Online"/>
    <s v="North-Charlie"/>
    <n v="12510.24"/>
    <n v="14633.279999999921"/>
    <n v="2123.0399999999208"/>
  </r>
  <r>
    <n v="1079"/>
    <d v="2023-08-24T00:00:00"/>
    <s v="Alice"/>
    <s v="North"/>
    <n v="9972.66"/>
    <n v="8"/>
    <x v="2"/>
    <n v="3808.23"/>
    <n v="3891.62"/>
    <s v="Returning"/>
    <n v="0.26"/>
    <s v="Bank Transfer"/>
    <s v="Online"/>
    <s v="North-Alice"/>
    <n v="30465.84"/>
    <n v="31132.959999999999"/>
    <n v="667.11999999999898"/>
  </r>
  <r>
    <n v="1085"/>
    <d v="2023-12-06T00:00:00"/>
    <s v="Eve"/>
    <s v="North"/>
    <n v="397.26"/>
    <n v="42"/>
    <x v="3"/>
    <n v="3117.75"/>
    <n v="3159.88"/>
    <s v="New"/>
    <n v="0.04"/>
    <s v="Cash"/>
    <s v="Retail"/>
    <s v="North-Eve"/>
    <n v="130945.5"/>
    <n v="132714.96"/>
    <n v="1769.4599999999919"/>
  </r>
  <r>
    <n v="1014"/>
    <d v="2023-08-16T00:00:00"/>
    <s v="David"/>
    <s v="South"/>
    <n v="8983.92"/>
    <n v="26"/>
    <x v="0"/>
    <n v="433.19"/>
    <n v="800.6"/>
    <s v="Returning"/>
    <n v="0.2"/>
    <s v="Cash"/>
    <s v="Online"/>
    <s v="South-David"/>
    <n v="11262.94"/>
    <n v="20815.600000000002"/>
    <n v="9552.6600000000017"/>
  </r>
  <r>
    <n v="1066"/>
    <d v="2023-01-09T00:00:00"/>
    <s v="Alice"/>
    <s v="North"/>
    <n v="6264.04"/>
    <n v="48"/>
    <x v="2"/>
    <n v="2588.54"/>
    <n v="2872.8"/>
    <s v="New"/>
    <n v="0.17"/>
    <s v="Cash"/>
    <s v="Online"/>
    <s v="North-Alice"/>
    <n v="124249.92"/>
    <n v="137894.40000000002"/>
    <n v="13644.480000000025"/>
  </r>
  <r>
    <n v="1075"/>
    <d v="2023-06-15T00:00:00"/>
    <s v="Eve"/>
    <s v="North"/>
    <n v="9736.49"/>
    <n v="26"/>
    <x v="0"/>
    <n v="1749.34"/>
    <n v="1935.25"/>
    <s v="New"/>
    <n v="0.14000000000000001"/>
    <s v="Credit Card"/>
    <s v="Online"/>
    <s v="North-Eve"/>
    <n v="45482.84"/>
    <n v="50316.5"/>
    <n v="4833.6600000000035"/>
  </r>
  <r>
    <n v="1051"/>
    <d v="2023-11-15T00:00:00"/>
    <s v="Alice"/>
    <s v="North"/>
    <n v="4703.59"/>
    <n v="23"/>
    <x v="3"/>
    <n v="1676.42"/>
    <n v="2082.52"/>
    <s v="New"/>
    <n v="0.15"/>
    <s v="Bank Transfer"/>
    <s v="Retail"/>
    <s v="North-Alice"/>
    <n v="38557.660000000003"/>
    <n v="47897.96"/>
    <n v="9340.2999999999956"/>
  </r>
  <r>
    <n v="1038"/>
    <d v="2023-08-02T00:00:00"/>
    <s v="Alice"/>
    <s v="East"/>
    <n v="8489.14"/>
    <n v="43"/>
    <x v="0"/>
    <n v="3031.17"/>
    <n v="3231.32"/>
    <s v="Returning"/>
    <n v="0.22"/>
    <s v="Cash"/>
    <s v="Retail"/>
    <s v="East-Alice"/>
    <n v="130340.31"/>
    <n v="138946.76"/>
    <n v="8606.4500000000116"/>
  </r>
  <r>
    <n v="1064"/>
    <d v="2023-04-27T00:00:00"/>
    <s v="Bob"/>
    <s v="North"/>
    <n v="717.7"/>
    <n v="13"/>
    <x v="2"/>
    <n v="1645.51"/>
    <n v="2045.53"/>
    <s v="Returning"/>
    <n v="0.28000000000000003"/>
    <s v="Cash"/>
    <s v="Retail"/>
    <s v="North-Bob"/>
    <n v="21391.63"/>
    <n v="26591.89"/>
    <n v="5200.2599999999984"/>
  </r>
  <r>
    <n v="1098"/>
    <d v="2023-12-10T00:00:00"/>
    <s v="Eve"/>
    <s v="East"/>
    <n v="3419.26"/>
    <n v="28"/>
    <x v="3"/>
    <n v="3895.62"/>
    <n v="4055.44"/>
    <s v="New"/>
    <n v="0.03"/>
    <s v="Bank Transfer"/>
    <s v="Retail"/>
    <s v="East-Eve"/>
    <n v="109077.36"/>
    <n v="113552.32000000001"/>
    <n v="4474.9600000000064"/>
  </r>
  <r>
    <n v="1038"/>
    <d v="2023-03-13T00:00:00"/>
    <s v="David"/>
    <s v="North"/>
    <n v="763.46"/>
    <n v="9"/>
    <x v="2"/>
    <n v="400.42"/>
    <n v="446.11"/>
    <s v="New"/>
    <n v="0.01"/>
    <s v="Bank Transfer"/>
    <s v="Retail"/>
    <s v="North-David"/>
    <n v="3603.78"/>
    <n v="4014.9900000000002"/>
    <n v="411.21000000000004"/>
  </r>
  <r>
    <n v="1050"/>
    <d v="2023-03-05T00:00:00"/>
    <s v="Bob"/>
    <s v="North"/>
    <n v="9755.9"/>
    <n v="20"/>
    <x v="3"/>
    <n v="3318.92"/>
    <n v="3785.91"/>
    <s v="New"/>
    <n v="0.24"/>
    <s v="Bank Transfer"/>
    <s v="Online"/>
    <s v="North-Bob"/>
    <n v="66378.399999999994"/>
    <n v="75718.2"/>
    <n v="9339.8000000000029"/>
  </r>
  <r>
    <n v="1098"/>
    <d v="2023-07-24T00:00:00"/>
    <s v="Alice"/>
    <s v="South"/>
    <n v="8188.04"/>
    <n v="19"/>
    <x v="3"/>
    <n v="4055.51"/>
    <n v="4258.84"/>
    <s v="Returning"/>
    <n v="0.03"/>
    <s v="Credit Card"/>
    <s v="Online"/>
    <s v="South-Alice"/>
    <n v="77054.69"/>
    <n v="80917.960000000006"/>
    <n v="3863.2700000000041"/>
  </r>
  <r>
    <n v="1082"/>
    <d v="2023-07-28T00:00:00"/>
    <s v="Alice"/>
    <s v="East"/>
    <n v="8540.2199999999993"/>
    <n v="48"/>
    <x v="1"/>
    <n v="3380.52"/>
    <n v="3778.94"/>
    <s v="Returning"/>
    <n v="0.3"/>
    <s v="Bank Transfer"/>
    <s v="Online"/>
    <s v="East-Alice"/>
    <n v="162264.95999999999"/>
    <n v="181389.12"/>
    <n v="19124.160000000003"/>
  </r>
  <r>
    <n v="1030"/>
    <d v="2023-03-13T00:00:00"/>
    <s v="Alice"/>
    <s v="North"/>
    <n v="9385.86"/>
    <n v="39"/>
    <x v="1"/>
    <n v="2511.2800000000002"/>
    <n v="2658.06"/>
    <s v="New"/>
    <n v="0.19"/>
    <s v="Credit Card"/>
    <s v="Retail"/>
    <s v="North-Alice"/>
    <n v="97939.920000000013"/>
    <n v="103664.34"/>
    <n v="5724.4199999999837"/>
  </r>
  <r>
    <n v="1079"/>
    <d v="2023-10-04T00:00:00"/>
    <s v="Eve"/>
    <s v="East"/>
    <n v="942.52"/>
    <n v="12"/>
    <x v="1"/>
    <n v="4754.0200000000004"/>
    <n v="5080.74"/>
    <s v="New"/>
    <n v="0.2"/>
    <s v="Cash"/>
    <s v="Online"/>
    <s v="East-Eve"/>
    <n v="57048.240000000005"/>
    <n v="60968.88"/>
    <n v="3920.6399999999921"/>
  </r>
  <r>
    <n v="1091"/>
    <d v="2023-10-01T00:00:00"/>
    <s v="Eve"/>
    <s v="East"/>
    <n v="3917.42"/>
    <n v="15"/>
    <x v="3"/>
    <n v="1534.7"/>
    <n v="1972.62"/>
    <s v="Returning"/>
    <n v="0.06"/>
    <s v="Credit Card"/>
    <s v="Retail"/>
    <s v="East-Eve"/>
    <n v="23020.5"/>
    <n v="29589.3"/>
    <n v="6568.7999999999993"/>
  </r>
  <r>
    <n v="1051"/>
    <d v="2023-11-16T00:00:00"/>
    <s v="Bob"/>
    <s v="West"/>
    <n v="803.25"/>
    <n v="31"/>
    <x v="0"/>
    <n v="144.88"/>
    <n v="175.29"/>
    <s v="New"/>
    <n v="7.0000000000000007E-2"/>
    <s v="Bank Transfer"/>
    <s v="Online"/>
    <s v="West-Bob"/>
    <n v="4491.28"/>
    <n v="5433.99"/>
    <n v="942.71"/>
  </r>
  <r>
    <n v="1063"/>
    <d v="2023-12-04T00:00:00"/>
    <s v="David"/>
    <s v="South"/>
    <n v="2186.85"/>
    <n v="14"/>
    <x v="2"/>
    <n v="2188.35"/>
    <n v="2605.3599999999901"/>
    <s v="Returning"/>
    <n v="0.2"/>
    <s v="Credit Card"/>
    <s v="Retail"/>
    <s v="South-David"/>
    <n v="30636.899999999998"/>
    <n v="36475.039999999863"/>
    <n v="5838.1399999998648"/>
  </r>
  <r>
    <n v="1098"/>
    <d v="2024-01-01T00:00:00"/>
    <s v="Bob"/>
    <s v="South"/>
    <n v="2370.7199999999998"/>
    <n v="11"/>
    <x v="2"/>
    <n v="213.41"/>
    <n v="503.36"/>
    <s v="Returning"/>
    <n v="0.27"/>
    <s v="Bank Transfer"/>
    <s v="Online"/>
    <s v="South-Bob"/>
    <n v="2347.5099999999998"/>
    <n v="5536.96"/>
    <n v="3189.4500000000003"/>
  </r>
  <r>
    <n v="1052"/>
    <d v="2023-04-05T00:00:00"/>
    <s v="Charlie"/>
    <s v="South"/>
    <n v="4744.16"/>
    <n v="26"/>
    <x v="2"/>
    <n v="4771.99"/>
    <n v="5079.6499999999996"/>
    <s v="New"/>
    <n v="0.28999999999999998"/>
    <s v="Credit Card"/>
    <s v="Online"/>
    <s v="South-Charlie"/>
    <n v="124071.73999999999"/>
    <n v="132070.9"/>
    <n v="7999.1600000000035"/>
  </r>
  <r>
    <n v="1038"/>
    <d v="2023-06-15T00:00:00"/>
    <s v="Alice"/>
    <s v="West"/>
    <n v="2758.77"/>
    <n v="42"/>
    <x v="1"/>
    <n v="1089.0899999999999"/>
    <n v="1355.44"/>
    <s v="New"/>
    <n v="0.06"/>
    <s v="Cash"/>
    <s v="Retail"/>
    <s v="West-Alice"/>
    <n v="45741.78"/>
    <n v="56928.480000000003"/>
    <n v="11186.700000000004"/>
  </r>
  <r>
    <n v="1097"/>
    <d v="2023-02-01T00:00:00"/>
    <s v="Alice"/>
    <s v="West"/>
    <n v="1099.68"/>
    <n v="27"/>
    <x v="3"/>
    <n v="3955.19"/>
    <n v="4393.68"/>
    <s v="Returning"/>
    <n v="0.04"/>
    <s v="Credit Card"/>
    <s v="Online"/>
    <s v="West-Alice"/>
    <n v="106790.13"/>
    <n v="118629.36000000002"/>
    <n v="11839.23000000001"/>
  </r>
  <r>
    <n v="1088"/>
    <d v="2023-01-11T00:00:00"/>
    <s v="Alice"/>
    <s v="South"/>
    <n v="1758.16"/>
    <n v="11"/>
    <x v="1"/>
    <n v="3884.13"/>
    <n v="3915.41"/>
    <s v="Returning"/>
    <n v="0.02"/>
    <s v="Cash"/>
    <s v="Online"/>
    <s v="South-Alice"/>
    <n v="42725.43"/>
    <n v="43069.509999999995"/>
    <n v="344.07999999999447"/>
  </r>
  <r>
    <n v="1079"/>
    <d v="2023-10-28T00:00:00"/>
    <s v="Bob"/>
    <s v="West"/>
    <n v="1558.03"/>
    <n v="38"/>
    <x v="0"/>
    <n v="1127.76"/>
    <n v="1265.6600000000001"/>
    <s v="Returning"/>
    <n v="0.26"/>
    <s v="Bank Transfer"/>
    <s v="Retail"/>
    <s v="West-Bob"/>
    <n v="42854.879999999997"/>
    <n v="48095.08"/>
    <n v="5240.2000000000044"/>
  </r>
  <r>
    <n v="1030"/>
    <d v="2023-08-05T00:00:00"/>
    <s v="Bob"/>
    <s v="West"/>
    <n v="9733.4599999999991"/>
    <n v="34"/>
    <x v="3"/>
    <n v="3125.07"/>
    <n v="3564.19"/>
    <s v="Returning"/>
    <n v="0.09"/>
    <s v="Cash"/>
    <s v="Online"/>
    <s v="West-Bob"/>
    <n v="106252.38"/>
    <n v="121182.46"/>
    <n v="14930.080000000002"/>
  </r>
  <r>
    <n v="1051"/>
    <d v="2023-10-16T00:00:00"/>
    <s v="Alice"/>
    <s v="West"/>
    <n v="7617"/>
    <n v="43"/>
    <x v="2"/>
    <n v="287.99"/>
    <n v="666.64"/>
    <s v="Returning"/>
    <n v="0"/>
    <s v="Bank Transfer"/>
    <s v="Online"/>
    <s v="West-Alice"/>
    <n v="12383.57"/>
    <n v="28665.52"/>
    <n v="16281.95"/>
  </r>
  <r>
    <n v="1081"/>
    <d v="2023-04-12T00:00:00"/>
    <s v="Bob"/>
    <s v="South"/>
    <n v="9680.84"/>
    <n v="19"/>
    <x v="1"/>
    <n v="2443.69"/>
    <n v="2462.34"/>
    <s v="New"/>
    <n v="7.0000000000000007E-2"/>
    <s v="Bank Transfer"/>
    <s v="Retail"/>
    <s v="South-Bob"/>
    <n v="46430.11"/>
    <n v="46784.460000000006"/>
    <n v="354.35000000000582"/>
  </r>
  <r>
    <n v="1005"/>
    <d v="2023-09-24T00:00:00"/>
    <s v="Eve"/>
    <s v="South"/>
    <n v="4453.43"/>
    <n v="6"/>
    <x v="1"/>
    <n v="122.5"/>
    <n v="385.83"/>
    <s v="Returning"/>
    <n v="0.1"/>
    <s v="Cash"/>
    <s v="Retail"/>
    <s v="South-Eve"/>
    <n v="735"/>
    <n v="2314.98"/>
    <n v="1579.98"/>
  </r>
  <r>
    <n v="1029"/>
    <d v="2023-08-02T00:00:00"/>
    <s v="Eve"/>
    <s v="South"/>
    <n v="2855.85"/>
    <n v="46"/>
    <x v="0"/>
    <n v="4609.66"/>
    <n v="4879.1499999999996"/>
    <s v="Returning"/>
    <n v="0.3"/>
    <s v="Cash"/>
    <s v="Retail"/>
    <s v="South-Eve"/>
    <n v="212044.36"/>
    <n v="224440.9"/>
    <n v="12396.540000000008"/>
  </r>
  <r>
    <n v="1004"/>
    <d v="2023-06-28T00:00:00"/>
    <s v="Bob"/>
    <s v="West"/>
    <n v="8003.1"/>
    <n v="38"/>
    <x v="0"/>
    <n v="4881.63"/>
    <n v="5088.0600000000004"/>
    <s v="Returning"/>
    <n v="0.16"/>
    <s v="Credit Card"/>
    <s v="Retail"/>
    <s v="West-Bob"/>
    <n v="185501.94"/>
    <n v="193346.28000000003"/>
    <n v="7844.3400000000256"/>
  </r>
  <r>
    <n v="1010"/>
    <d v="2023-03-29T00:00:00"/>
    <s v="Alice"/>
    <s v="South"/>
    <n v="3329.91"/>
    <n v="49"/>
    <x v="1"/>
    <n v="1150.3"/>
    <n v="1306.02"/>
    <s v="New"/>
    <n v="0.06"/>
    <s v="Credit Card"/>
    <s v="Retail"/>
    <s v="South-Alice"/>
    <n v="56364.7"/>
    <n v="63994.979999999996"/>
    <n v="7630.2799999999988"/>
  </r>
  <r>
    <n v="1056"/>
    <d v="2023-02-10T00:00:00"/>
    <s v="Bob"/>
    <s v="West"/>
    <n v="3063.9"/>
    <n v="42"/>
    <x v="0"/>
    <n v="1080.1199999999999"/>
    <n v="1424.1699999999901"/>
    <s v="New"/>
    <n v="0.1"/>
    <s v="Cash"/>
    <s v="Online"/>
    <s v="West-Bob"/>
    <n v="45365.039999999994"/>
    <n v="59815.139999999585"/>
    <n v="14450.099999999591"/>
  </r>
  <r>
    <n v="1017"/>
    <d v="2023-03-17T00:00:00"/>
    <s v="Bob"/>
    <s v="North"/>
    <n v="2401.81"/>
    <n v="28"/>
    <x v="2"/>
    <n v="3780.91"/>
    <n v="3892.73"/>
    <s v="Returning"/>
    <n v="0.1"/>
    <s v="Cash"/>
    <s v="Retail"/>
    <s v="North-Bob"/>
    <n v="105865.48"/>
    <n v="108996.44"/>
    <n v="3130.9600000000064"/>
  </r>
  <r>
    <n v="1074"/>
    <d v="2023-02-15T00:00:00"/>
    <s v="Bob"/>
    <s v="West"/>
    <n v="1383.82"/>
    <n v="1"/>
    <x v="0"/>
    <n v="1304.23"/>
    <n v="1705.71"/>
    <s v="Returning"/>
    <n v="0.01"/>
    <s v="Cash"/>
    <s v="Retail"/>
    <s v="West-Bob"/>
    <n v="1304.23"/>
    <n v="1705.71"/>
    <n v="401.48"/>
  </r>
  <r>
    <n v="1017"/>
    <d v="2023-06-09T00:00:00"/>
    <s v="Charlie"/>
    <s v="East"/>
    <n v="2638.98"/>
    <n v="35"/>
    <x v="0"/>
    <n v="4480.63"/>
    <n v="4884.12"/>
    <s v="New"/>
    <n v="0.04"/>
    <s v="Cash"/>
    <s v="Online"/>
    <s v="East-Charlie"/>
    <n v="156822.05000000002"/>
    <n v="170944.19999999998"/>
    <n v="14122.149999999965"/>
  </r>
  <r>
    <n v="1084"/>
    <d v="2023-03-21T00:00:00"/>
    <s v="Eve"/>
    <s v="South"/>
    <n v="3617.67"/>
    <n v="40"/>
    <x v="1"/>
    <n v="2890.95"/>
    <n v="3104.43"/>
    <s v="New"/>
    <n v="0.21"/>
    <s v="Bank Transfer"/>
    <s v="Online"/>
    <s v="South-Eve"/>
    <n v="115638"/>
    <n v="124177.2"/>
    <n v="8539.1999999999971"/>
  </r>
  <r>
    <n v="1088"/>
    <d v="2023-11-06T00:00:00"/>
    <s v="David"/>
    <s v="South"/>
    <n v="6772.54"/>
    <n v="8"/>
    <x v="1"/>
    <n v="1786.35"/>
    <n v="1935.29"/>
    <s v="New"/>
    <n v="0.04"/>
    <s v="Cash"/>
    <s v="Online"/>
    <s v="South-David"/>
    <n v="14290.8"/>
    <n v="15482.32"/>
    <n v="1191.5200000000004"/>
  </r>
  <r>
    <n v="1069"/>
    <d v="2023-03-27T00:00:00"/>
    <s v="David"/>
    <s v="East"/>
    <n v="719.39"/>
    <n v="47"/>
    <x v="3"/>
    <n v="4171.83"/>
    <n v="4320.93"/>
    <s v="New"/>
    <n v="7.0000000000000007E-2"/>
    <s v="Cash"/>
    <s v="Online"/>
    <s v="East-David"/>
    <n v="196076.01"/>
    <n v="203083.71000000002"/>
    <n v="7007.7000000000116"/>
  </r>
  <r>
    <n v="1034"/>
    <d v="2023-04-02T00:00:00"/>
    <s v="Charlie"/>
    <s v="West"/>
    <n v="2184.02"/>
    <n v="7"/>
    <x v="3"/>
    <n v="2492.36"/>
    <n v="2738.68"/>
    <s v="Returning"/>
    <n v="0.11"/>
    <s v="Cash"/>
    <s v="Online"/>
    <s v="West-Charlie"/>
    <n v="17446.52"/>
    <n v="19170.759999999998"/>
    <n v="1724.239999999998"/>
  </r>
  <r>
    <n v="1006"/>
    <d v="2023-05-28T00:00:00"/>
    <s v="Bob"/>
    <s v="North"/>
    <n v="8109.33"/>
    <n v="11"/>
    <x v="1"/>
    <n v="4562.58"/>
    <n v="4925.17"/>
    <s v="New"/>
    <n v="0.23"/>
    <s v="Cash"/>
    <s v="Retail"/>
    <s v="North-Bob"/>
    <n v="50188.38"/>
    <n v="54176.87"/>
    <n v="3988.4900000000052"/>
  </r>
  <r>
    <n v="1053"/>
    <d v="2023-06-10T00:00:00"/>
    <s v="Charlie"/>
    <s v="East"/>
    <n v="1554.53"/>
    <n v="39"/>
    <x v="0"/>
    <n v="4643.67"/>
    <n v="4829.5200000000004"/>
    <s v="Returning"/>
    <n v="0.17"/>
    <s v="Bank Transfer"/>
    <s v="Online"/>
    <s v="East-Charlie"/>
    <n v="181103.13"/>
    <n v="188351.28000000003"/>
    <n v="7248.1500000000233"/>
  </r>
  <r>
    <n v="1066"/>
    <d v="2023-07-21T00:00:00"/>
    <s v="Charlie"/>
    <s v="East"/>
    <n v="3492.19"/>
    <n v="4"/>
    <x v="0"/>
    <n v="868.83"/>
    <n v="1177.75"/>
    <s v="Returning"/>
    <n v="0.21"/>
    <s v="Credit Card"/>
    <s v="Retail"/>
    <s v="East-Charlie"/>
    <n v="3475.32"/>
    <n v="4711"/>
    <n v="1235.6799999999998"/>
  </r>
  <r>
    <n v="1077"/>
    <d v="2023-08-30T00:00:00"/>
    <s v="Alice"/>
    <s v="West"/>
    <n v="8660.1200000000008"/>
    <n v="25"/>
    <x v="3"/>
    <n v="61.5"/>
    <n v="258.91999999999899"/>
    <s v="New"/>
    <n v="0.17"/>
    <s v="Credit Card"/>
    <s v="Online"/>
    <s v="West-Alice"/>
    <n v="1537.5"/>
    <n v="6472.9999999999745"/>
    <n v="4935.4999999999745"/>
  </r>
  <r>
    <n v="1043"/>
    <d v="2023-12-19T00:00:00"/>
    <s v="Eve"/>
    <s v="South"/>
    <n v="1633.76"/>
    <n v="12"/>
    <x v="3"/>
    <n v="4920.46"/>
    <n v="5079.68"/>
    <s v="New"/>
    <n v="0.21"/>
    <s v="Credit Card"/>
    <s v="Retail"/>
    <s v="South-Eve"/>
    <n v="59045.520000000004"/>
    <n v="60956.160000000003"/>
    <n v="1910.6399999999994"/>
  </r>
  <r>
    <n v="1075"/>
    <d v="2023-01-02T00:00:00"/>
    <s v="David"/>
    <s v="West"/>
    <n v="919.09"/>
    <n v="26"/>
    <x v="3"/>
    <n v="4535.38"/>
    <n v="4557.5600000000004"/>
    <s v="New"/>
    <n v="0"/>
    <s v="Credit Card"/>
    <s v="Online"/>
    <s v="West-David"/>
    <n v="117919.88"/>
    <n v="118496.56000000001"/>
    <n v="576.68000000000757"/>
  </r>
  <r>
    <n v="1023"/>
    <d v="2023-08-13T00:00:00"/>
    <s v="Bob"/>
    <s v="East"/>
    <n v="4896.93"/>
    <n v="38"/>
    <x v="2"/>
    <n v="324.45"/>
    <n v="336.37"/>
    <s v="New"/>
    <n v="0.28000000000000003"/>
    <s v="Credit Card"/>
    <s v="Retail"/>
    <s v="East-Bob"/>
    <n v="12329.1"/>
    <n v="12782.06"/>
    <n v="452.95999999999913"/>
  </r>
  <r>
    <n v="1055"/>
    <d v="2023-10-16T00:00:00"/>
    <s v="David"/>
    <s v="East"/>
    <n v="3093.95"/>
    <n v="46"/>
    <x v="2"/>
    <n v="4173.5200000000004"/>
    <n v="4294.8500000000004"/>
    <s v="Returning"/>
    <n v="0.03"/>
    <s v="Bank Transfer"/>
    <s v="Retail"/>
    <s v="East-David"/>
    <n v="191981.92"/>
    <n v="197563.1"/>
    <n v="5581.179999999993"/>
  </r>
  <r>
    <n v="1080"/>
    <d v="2023-08-21T00:00:00"/>
    <s v="David"/>
    <s v="South"/>
    <n v="5677.74"/>
    <n v="12"/>
    <x v="3"/>
    <n v="2316.13"/>
    <n v="2525.27"/>
    <s v="Returning"/>
    <n v="0.12"/>
    <s v="Credit Card"/>
    <s v="Retail"/>
    <s v="South-David"/>
    <n v="27793.56"/>
    <n v="30303.239999999998"/>
    <n v="2509.6799999999967"/>
  </r>
  <r>
    <n v="1095"/>
    <d v="2023-03-18T00:00:00"/>
    <s v="Eve"/>
    <s v="South"/>
    <n v="8057.67"/>
    <n v="43"/>
    <x v="0"/>
    <n v="1331.86"/>
    <n v="1758.98"/>
    <s v="Returning"/>
    <n v="0.23"/>
    <s v="Bank Transfer"/>
    <s v="Retail"/>
    <s v="South-Eve"/>
    <n v="57269.979999999996"/>
    <n v="75636.14"/>
    <n v="18366.160000000003"/>
  </r>
  <r>
    <n v="1075"/>
    <d v="2023-04-26T00:00:00"/>
    <s v="David"/>
    <s v="South"/>
    <n v="1457.77"/>
    <n v="37"/>
    <x v="3"/>
    <n v="4399.8"/>
    <n v="4801.0600000000004"/>
    <s v="New"/>
    <n v="0.13"/>
    <s v="Bank Transfer"/>
    <s v="Retail"/>
    <s v="South-David"/>
    <n v="162792.6"/>
    <n v="177639.22"/>
    <n v="14846.619999999995"/>
  </r>
  <r>
    <n v="1016"/>
    <d v="2023-06-03T00:00:00"/>
    <s v="David"/>
    <s v="West"/>
    <n v="5848.92"/>
    <n v="46"/>
    <x v="2"/>
    <n v="1023.5"/>
    <n v="1164.4100000000001"/>
    <s v="Returning"/>
    <n v="0.28000000000000003"/>
    <s v="Credit Card"/>
    <s v="Retail"/>
    <s v="West-David"/>
    <n v="47081"/>
    <n v="53562.86"/>
    <n v="6481.8600000000006"/>
  </r>
  <r>
    <n v="1008"/>
    <d v="2023-04-13T00:00:00"/>
    <s v="Charlie"/>
    <s v="South"/>
    <n v="5104.54"/>
    <n v="24"/>
    <x v="0"/>
    <n v="4739.13"/>
    <n v="4868.95"/>
    <s v="New"/>
    <n v="0.14000000000000001"/>
    <s v="Credit Card"/>
    <s v="Retail"/>
    <s v="South-Charlie"/>
    <n v="113739.12"/>
    <n v="116854.79999999999"/>
    <n v="3115.679999999993"/>
  </r>
  <r>
    <n v="1004"/>
    <d v="2023-07-13T00:00:00"/>
    <s v="Eve"/>
    <s v="East"/>
    <n v="1526.38"/>
    <n v="16"/>
    <x v="2"/>
    <n v="1067.83"/>
    <n v="1189.22"/>
    <s v="Returning"/>
    <n v="0.26"/>
    <s v="Credit Card"/>
    <s v="Retail"/>
    <s v="East-Eve"/>
    <n v="17085.28"/>
    <n v="19027.52"/>
    <n v="1942.2400000000016"/>
  </r>
  <r>
    <n v="1004"/>
    <d v="2023-06-15T00:00:00"/>
    <s v="Alice"/>
    <s v="East"/>
    <n v="6277.59"/>
    <n v="13"/>
    <x v="0"/>
    <n v="3087.73"/>
    <n v="3263.96"/>
    <s v="New"/>
    <n v="0.24"/>
    <s v="Cash"/>
    <s v="Retail"/>
    <s v="East-Alice"/>
    <n v="40140.49"/>
    <n v="42431.48"/>
    <n v="2290.9900000000052"/>
  </r>
  <r>
    <n v="1056"/>
    <d v="2023-12-25T00:00:00"/>
    <s v="Bob"/>
    <s v="North"/>
    <n v="2809.04"/>
    <n v="25"/>
    <x v="2"/>
    <n v="1154.28"/>
    <n v="1408.4"/>
    <s v="Returning"/>
    <n v="0.28999999999999998"/>
    <s v="Bank Transfer"/>
    <s v="Retail"/>
    <s v="North-Bob"/>
    <n v="28857"/>
    <n v="35210"/>
    <n v="6353"/>
  </r>
  <r>
    <n v="1025"/>
    <d v="2023-03-31T00:00:00"/>
    <s v="David"/>
    <s v="West"/>
    <n v="4929.5600000000004"/>
    <n v="4"/>
    <x v="0"/>
    <n v="2751.06"/>
    <n v="2976.0099999999902"/>
    <s v="Returning"/>
    <n v="0.28000000000000003"/>
    <s v="Credit Card"/>
    <s v="Online"/>
    <s v="West-David"/>
    <n v="11004.24"/>
    <n v="11904.039999999961"/>
    <n v="899.79999999996107"/>
  </r>
  <r>
    <n v="1067"/>
    <d v="2023-06-23T00:00:00"/>
    <s v="Bob"/>
    <s v="North"/>
    <n v="914.5"/>
    <n v="11"/>
    <x v="0"/>
    <n v="3435.68"/>
    <n v="3552.6299999999901"/>
    <s v="New"/>
    <n v="0.27"/>
    <s v="Cash"/>
    <s v="Retail"/>
    <s v="North-Bob"/>
    <n v="37792.479999999996"/>
    <n v="39078.929999999891"/>
    <n v="1286.4499999998952"/>
  </r>
  <r>
    <n v="1096"/>
    <d v="2023-05-02T00:00:00"/>
    <s v="Alice"/>
    <s v="East"/>
    <n v="4649.88"/>
    <n v="32"/>
    <x v="0"/>
    <n v="991.63"/>
    <n v="1065.55"/>
    <s v="Returning"/>
    <n v="0.22"/>
    <s v="Bank Transfer"/>
    <s v="Retail"/>
    <s v="East-Alice"/>
    <n v="31732.16"/>
    <n v="34097.599999999999"/>
    <n v="2365.4399999999987"/>
  </r>
  <r>
    <n v="1067"/>
    <d v="2023-05-23T00:00:00"/>
    <s v="Bob"/>
    <s v="North"/>
    <n v="3133.99"/>
    <n v="49"/>
    <x v="0"/>
    <n v="2628.38"/>
    <n v="2644.54"/>
    <s v="Returning"/>
    <n v="0.11"/>
    <s v="Cash"/>
    <s v="Online"/>
    <s v="North-Bob"/>
    <n v="128790.62000000001"/>
    <n v="129582.45999999999"/>
    <n v="791.83999999998196"/>
  </r>
  <r>
    <n v="1027"/>
    <d v="2023-04-16T00:00:00"/>
    <s v="Alice"/>
    <s v="East"/>
    <n v="8241.57"/>
    <n v="7"/>
    <x v="1"/>
    <n v="2371.85"/>
    <n v="2457.29"/>
    <s v="New"/>
    <n v="0.03"/>
    <s v="Cash"/>
    <s v="Retail"/>
    <s v="East-Alice"/>
    <n v="16602.95"/>
    <n v="17201.03"/>
    <n v="598.07999999999811"/>
  </r>
  <r>
    <n v="1093"/>
    <d v="2023-11-01T00:00:00"/>
    <s v="Charlie"/>
    <s v="North"/>
    <n v="664.09"/>
    <n v="46"/>
    <x v="2"/>
    <n v="401.64"/>
    <n v="757.26"/>
    <s v="New"/>
    <n v="0.21"/>
    <s v="Credit Card"/>
    <s v="Retail"/>
    <s v="North-Charlie"/>
    <n v="18475.439999999999"/>
    <n v="34833.96"/>
    <n v="16358.52"/>
  </r>
  <r>
    <n v="1032"/>
    <d v="2023-12-26T00:00:00"/>
    <s v="David"/>
    <s v="South"/>
    <n v="4244.21"/>
    <n v="11"/>
    <x v="2"/>
    <n v="4100.62"/>
    <n v="4230"/>
    <s v="New"/>
    <n v="0.28999999999999998"/>
    <s v="Bank Transfer"/>
    <s v="Online"/>
    <s v="South-David"/>
    <n v="45106.82"/>
    <n v="46530"/>
    <n v="1423.1800000000003"/>
  </r>
  <r>
    <n v="1050"/>
    <d v="2023-11-13T00:00:00"/>
    <s v="Alice"/>
    <s v="North"/>
    <n v="4638.47"/>
    <n v="28"/>
    <x v="1"/>
    <n v="1711.63"/>
    <n v="1951.24"/>
    <s v="New"/>
    <n v="0.22"/>
    <s v="Cash"/>
    <s v="Online"/>
    <s v="North-Alice"/>
    <n v="47925.64"/>
    <n v="54634.720000000001"/>
    <n v="6709.0800000000017"/>
  </r>
  <r>
    <n v="1061"/>
    <d v="2023-05-03T00:00:00"/>
    <s v="Bob"/>
    <s v="South"/>
    <n v="7277.56"/>
    <n v="41"/>
    <x v="0"/>
    <n v="2894.18"/>
    <n v="3193.92"/>
    <s v="New"/>
    <n v="0.28000000000000003"/>
    <s v="Bank Transfer"/>
    <s v="Retail"/>
    <s v="South-Bob"/>
    <n v="118661.37999999999"/>
    <n v="130950.72"/>
    <n v="12289.340000000011"/>
  </r>
  <r>
    <n v="1051"/>
    <d v="2023-01-09T00:00:00"/>
    <s v="David"/>
    <s v="South"/>
    <n v="5785.45"/>
    <n v="23"/>
    <x v="0"/>
    <n v="2598.1799999999998"/>
    <n v="3042.73"/>
    <s v="Returning"/>
    <n v="0.24"/>
    <s v="Credit Card"/>
    <s v="Online"/>
    <s v="South-David"/>
    <n v="59758.14"/>
    <n v="69982.789999999994"/>
    <n v="10224.649999999994"/>
  </r>
  <r>
    <n v="1019"/>
    <d v="2023-09-19T00:00:00"/>
    <s v="Charlie"/>
    <s v="West"/>
    <n v="6705.4"/>
    <n v="45"/>
    <x v="2"/>
    <n v="2590.64"/>
    <n v="3036.18"/>
    <s v="New"/>
    <n v="0.05"/>
    <s v="Bank Transfer"/>
    <s v="Retail"/>
    <s v="West-Charlie"/>
    <n v="116578.79999999999"/>
    <n v="136628.1"/>
    <n v="20049.300000000017"/>
  </r>
  <r>
    <n v="1021"/>
    <d v="2023-03-14T00:00:00"/>
    <s v="David"/>
    <s v="South"/>
    <n v="7792.79"/>
    <n v="23"/>
    <x v="1"/>
    <n v="580.75"/>
    <n v="956.16"/>
    <s v="Returning"/>
    <n v="7.0000000000000007E-2"/>
    <s v="Cash"/>
    <s v="Retail"/>
    <s v="South-David"/>
    <n v="13357.25"/>
    <n v="21991.68"/>
    <n v="8634.43"/>
  </r>
  <r>
    <n v="1005"/>
    <d v="2023-12-25T00:00:00"/>
    <s v="Alice"/>
    <s v="South"/>
    <n v="8635.81"/>
    <n v="28"/>
    <x v="0"/>
    <n v="2146.2399999999998"/>
    <n v="2173.4699999999998"/>
    <s v="Returning"/>
    <n v="0.1"/>
    <s v="Cash"/>
    <s v="Retail"/>
    <s v="South-Alice"/>
    <n v="60094.719999999994"/>
    <n v="60857.159999999996"/>
    <n v="762.44000000000233"/>
  </r>
  <r>
    <n v="1082"/>
    <d v="2023-08-11T00:00:00"/>
    <s v="Charlie"/>
    <s v="North"/>
    <n v="3207.37"/>
    <n v="43"/>
    <x v="0"/>
    <n v="2289.2199999999998"/>
    <n v="2581"/>
    <s v="New"/>
    <n v="0.05"/>
    <s v="Bank Transfer"/>
    <s v="Online"/>
    <s v="North-Charlie"/>
    <n v="98436.459999999992"/>
    <n v="110983"/>
    <n v="12546.540000000008"/>
  </r>
  <r>
    <n v="1092"/>
    <d v="2023-02-10T00:00:00"/>
    <s v="Bob"/>
    <s v="East"/>
    <n v="5426.42"/>
    <n v="47"/>
    <x v="0"/>
    <n v="3681.53"/>
    <n v="4076.96"/>
    <s v="Returning"/>
    <n v="0.17"/>
    <s v="Cash"/>
    <s v="Retail"/>
    <s v="East-Bob"/>
    <n v="173031.91"/>
    <n v="191617.12"/>
    <n v="18585.209999999992"/>
  </r>
  <r>
    <n v="1042"/>
    <d v="2023-07-23T00:00:00"/>
    <s v="Charlie"/>
    <s v="West"/>
    <n v="8417.07"/>
    <n v="26"/>
    <x v="3"/>
    <n v="4208.09"/>
    <n v="4226.5600000000004"/>
    <s v="Returning"/>
    <n v="0.28999999999999998"/>
    <s v="Cash"/>
    <s v="Retail"/>
    <s v="West-Charlie"/>
    <n v="109410.34"/>
    <n v="109890.56000000001"/>
    <n v="480.22000000001572"/>
  </r>
  <r>
    <n v="1061"/>
    <d v="2023-09-21T00:00:00"/>
    <s v="Charlie"/>
    <s v="South"/>
    <n v="9895.57"/>
    <n v="25"/>
    <x v="1"/>
    <n v="2747.66"/>
    <n v="3027.0099999999902"/>
    <s v="New"/>
    <n v="0.23"/>
    <s v="Cash"/>
    <s v="Online"/>
    <s v="South-Charlie"/>
    <n v="68691.5"/>
    <n v="75675.249999999753"/>
    <n v="6983.7499999997526"/>
  </r>
  <r>
    <n v="1022"/>
    <d v="2023-11-24T00:00:00"/>
    <s v="Eve"/>
    <s v="West"/>
    <n v="8906.24"/>
    <n v="29"/>
    <x v="0"/>
    <n v="479.58"/>
    <n v="909.88"/>
    <s v="Returning"/>
    <n v="0.13"/>
    <s v="Credit Card"/>
    <s v="Retail"/>
    <s v="West-Eve"/>
    <n v="13907.82"/>
    <n v="26386.52"/>
    <n v="12478.7"/>
  </r>
  <r>
    <n v="1021"/>
    <d v="2023-06-27T00:00:00"/>
    <s v="Charlie"/>
    <s v="North"/>
    <n v="3777.53"/>
    <n v="19"/>
    <x v="3"/>
    <n v="1222.4000000000001"/>
    <n v="1464.71"/>
    <s v="New"/>
    <n v="0"/>
    <s v="Credit Card"/>
    <s v="Retail"/>
    <s v="North-Charlie"/>
    <n v="23225.600000000002"/>
    <n v="27829.49"/>
    <n v="4603.8899999999994"/>
  </r>
  <r>
    <n v="1070"/>
    <d v="2023-12-14T00:00:00"/>
    <s v="Charlie"/>
    <s v="South"/>
    <n v="2032.15"/>
    <n v="33"/>
    <x v="1"/>
    <n v="866.42"/>
    <n v="878.43"/>
    <s v="New"/>
    <n v="0.09"/>
    <s v="Cash"/>
    <s v="Retail"/>
    <s v="South-Charlie"/>
    <n v="28591.859999999997"/>
    <n v="28988.19"/>
    <n v="396.33000000000175"/>
  </r>
  <r>
    <n v="1001"/>
    <d v="2023-11-14T00:00:00"/>
    <s v="David"/>
    <s v="North"/>
    <n v="4944.99"/>
    <n v="36"/>
    <x v="0"/>
    <n v="666.84"/>
    <n v="682.24"/>
    <s v="New"/>
    <n v="0.16"/>
    <s v="Bank Transfer"/>
    <s v="Retail"/>
    <s v="North-David"/>
    <n v="24006.240000000002"/>
    <n v="24560.639999999999"/>
    <n v="554.39999999999782"/>
  </r>
  <r>
    <n v="1005"/>
    <d v="2023-03-25T00:00:00"/>
    <s v="Bob"/>
    <s v="West"/>
    <n v="7442.25"/>
    <n v="14"/>
    <x v="2"/>
    <n v="1861.2"/>
    <n v="2075.35"/>
    <s v="Returning"/>
    <n v="0.1"/>
    <s v="Credit Card"/>
    <s v="Retail"/>
    <s v="West-Bob"/>
    <n v="26056.799999999999"/>
    <n v="29054.899999999998"/>
    <n v="2998.0999999999985"/>
  </r>
  <r>
    <n v="1012"/>
    <d v="2023-11-14T00:00:00"/>
    <s v="David"/>
    <s v="North"/>
    <n v="4976.43"/>
    <n v="14"/>
    <x v="3"/>
    <n v="1185.5"/>
    <n v="1271.45"/>
    <s v="Returning"/>
    <n v="0.03"/>
    <s v="Bank Transfer"/>
    <s v="Retail"/>
    <s v="North-David"/>
    <n v="16597"/>
    <n v="17800.3"/>
    <n v="1203.2999999999993"/>
  </r>
  <r>
    <n v="1090"/>
    <d v="2023-04-21T00:00:00"/>
    <s v="David"/>
    <s v="West"/>
    <n v="4883.49"/>
    <n v="35"/>
    <x v="3"/>
    <n v="1130.5999999999999"/>
    <n v="1466.1799999999901"/>
    <s v="Returning"/>
    <n v="0.13"/>
    <s v="Cash"/>
    <s v="Online"/>
    <s v="West-David"/>
    <n v="39571"/>
    <n v="51316.299999999654"/>
    <n v="11745.299999999654"/>
  </r>
  <r>
    <n v="1046"/>
    <d v="2023-09-08T00:00:00"/>
    <s v="Alice"/>
    <s v="North"/>
    <n v="8398.48"/>
    <n v="30"/>
    <x v="0"/>
    <n v="320.73"/>
    <n v="678.04"/>
    <s v="Returning"/>
    <n v="0.08"/>
    <s v="Cash"/>
    <s v="Retail"/>
    <s v="North-Alice"/>
    <n v="9621.9000000000015"/>
    <n v="20341.199999999997"/>
    <n v="10719.299999999996"/>
  </r>
  <r>
    <n v="1034"/>
    <d v="2023-01-07T00:00:00"/>
    <s v="David"/>
    <s v="West"/>
    <n v="3677.9"/>
    <n v="28"/>
    <x v="0"/>
    <n v="137.47"/>
    <n v="234.63"/>
    <s v="New"/>
    <n v="0.27"/>
    <s v="Bank Transfer"/>
    <s v="Retail"/>
    <s v="West-David"/>
    <n v="3849.16"/>
    <n v="6569.6399999999994"/>
    <n v="2720.4799999999996"/>
  </r>
  <r>
    <n v="1049"/>
    <d v="2023-03-25T00:00:00"/>
    <s v="Eve"/>
    <s v="East"/>
    <n v="8611.9699999999993"/>
    <n v="17"/>
    <x v="3"/>
    <n v="558.70000000000005"/>
    <n v="1004.08"/>
    <s v="Returning"/>
    <n v="0.03"/>
    <s v="Credit Card"/>
    <s v="Online"/>
    <s v="East-Eve"/>
    <n v="9497.9000000000015"/>
    <n v="17069.36"/>
    <n v="7571.4599999999991"/>
  </r>
  <r>
    <n v="1078"/>
    <d v="2023-07-27T00:00:00"/>
    <s v="Eve"/>
    <s v="North"/>
    <n v="4127.37"/>
    <n v="3"/>
    <x v="2"/>
    <n v="902.38"/>
    <n v="1128.9100000000001"/>
    <s v="New"/>
    <n v="0.01"/>
    <s v="Bank Transfer"/>
    <s v="Retail"/>
    <s v="North-Eve"/>
    <n v="2707.14"/>
    <n v="3386.7300000000005"/>
    <n v="679.5900000000006"/>
  </r>
  <r>
    <n v="1090"/>
    <d v="2023-11-10T00:00:00"/>
    <s v="Alice"/>
    <s v="North"/>
    <n v="3349.51"/>
    <n v="16"/>
    <x v="2"/>
    <n v="2183.37"/>
    <n v="2263.3599999999901"/>
    <s v="Returning"/>
    <n v="0"/>
    <s v="Bank Transfer"/>
    <s v="Retail"/>
    <s v="North-Alice"/>
    <n v="34933.919999999998"/>
    <n v="36213.759999999842"/>
    <n v="1279.8399999998437"/>
  </r>
  <r>
    <n v="1045"/>
    <d v="2023-01-22T00:00:00"/>
    <s v="Bob"/>
    <s v="East"/>
    <n v="4594.5"/>
    <n v="46"/>
    <x v="1"/>
    <n v="2577.08"/>
    <n v="2961.56"/>
    <s v="Returning"/>
    <n v="0.1"/>
    <s v="Cash"/>
    <s v="Online"/>
    <s v="East-Bob"/>
    <n v="118545.68"/>
    <n v="136231.76"/>
    <n v="17686.080000000016"/>
  </r>
  <r>
    <n v="1027"/>
    <d v="2023-01-03T00:00:00"/>
    <s v="Bob"/>
    <s v="East"/>
    <n v="7648.22"/>
    <n v="30"/>
    <x v="0"/>
    <n v="745.93"/>
    <n v="1143.02"/>
    <s v="Returning"/>
    <n v="0.2"/>
    <s v="Credit Card"/>
    <s v="Online"/>
    <s v="East-Bob"/>
    <n v="22377.899999999998"/>
    <n v="34290.6"/>
    <n v="11912.7"/>
  </r>
  <r>
    <n v="1073"/>
    <d v="2023-05-07T00:00:00"/>
    <s v="David"/>
    <s v="North"/>
    <n v="1347.42"/>
    <n v="29"/>
    <x v="2"/>
    <n v="2152.6799999999998"/>
    <n v="2475.9299999999998"/>
    <s v="Returning"/>
    <n v="0.22"/>
    <s v="Bank Transfer"/>
    <s v="Online"/>
    <s v="North-David"/>
    <n v="62427.719999999994"/>
    <n v="71801.97"/>
    <n v="9374.2500000000073"/>
  </r>
  <r>
    <n v="1026"/>
    <d v="2023-10-24T00:00:00"/>
    <s v="David"/>
    <s v="East"/>
    <n v="2044.55"/>
    <n v="45"/>
    <x v="1"/>
    <n v="1741.66"/>
    <n v="2169.86"/>
    <s v="Returning"/>
    <n v="0.14000000000000001"/>
    <s v="Credit Card"/>
    <s v="Online"/>
    <s v="East-David"/>
    <n v="78374.7"/>
    <n v="97643.700000000012"/>
    <n v="19269.000000000015"/>
  </r>
  <r>
    <n v="1047"/>
    <d v="2023-07-07T00:00:00"/>
    <s v="David"/>
    <s v="South"/>
    <n v="9519.2999999999993"/>
    <n v="15"/>
    <x v="2"/>
    <n v="957.95"/>
    <n v="1329.26"/>
    <s v="New"/>
    <n v="0.21"/>
    <s v="Cash"/>
    <s v="Online"/>
    <s v="South-David"/>
    <n v="14369.25"/>
    <n v="19938.900000000001"/>
    <n v="5569.6500000000015"/>
  </r>
  <r>
    <n v="1086"/>
    <d v="2023-12-28T00:00:00"/>
    <s v="Bob"/>
    <s v="West"/>
    <n v="1837.37"/>
    <n v="46"/>
    <x v="0"/>
    <n v="83.86"/>
    <n v="526.14"/>
    <s v="Returning"/>
    <n v="0.11"/>
    <s v="Credit Card"/>
    <s v="Online"/>
    <s v="West-Bob"/>
    <n v="3857.56"/>
    <n v="24202.44"/>
    <n v="20344.879999999997"/>
  </r>
  <r>
    <n v="1056"/>
    <d v="2023-01-14T00:00:00"/>
    <s v="Charlie"/>
    <s v="West"/>
    <n v="5720.5"/>
    <n v="25"/>
    <x v="1"/>
    <n v="2361.7399999999998"/>
    <n v="2584.35"/>
    <s v="Returning"/>
    <n v="0.2"/>
    <s v="Cash"/>
    <s v="Online"/>
    <s v="West-Charlie"/>
    <n v="59043.499999999993"/>
    <n v="64608.75"/>
    <n v="5565.2500000000073"/>
  </r>
  <r>
    <n v="1094"/>
    <d v="2023-01-12T00:00:00"/>
    <s v="Eve"/>
    <s v="West"/>
    <n v="5835.21"/>
    <n v="38"/>
    <x v="1"/>
    <n v="3443.98"/>
    <n v="3820.3"/>
    <s v="Returning"/>
    <n v="0.01"/>
    <s v="Credit Card"/>
    <s v="Retail"/>
    <s v="West-Eve"/>
    <n v="130871.24"/>
    <n v="145171.4"/>
    <n v="14300.159999999989"/>
  </r>
  <r>
    <n v="1063"/>
    <d v="2023-03-28T00:00:00"/>
    <s v="Charlie"/>
    <s v="South"/>
    <n v="4947.28"/>
    <n v="42"/>
    <x v="1"/>
    <n v="1170.07"/>
    <n v="1669.94999999999"/>
    <s v="Returning"/>
    <n v="0.12"/>
    <s v="Bank Transfer"/>
    <s v="Retail"/>
    <s v="South-Charlie"/>
    <n v="49142.939999999995"/>
    <n v="70137.899999999587"/>
    <n v="20994.959999999592"/>
  </r>
  <r>
    <n v="1048"/>
    <d v="2023-01-12T00:00:00"/>
    <s v="Charlie"/>
    <s v="East"/>
    <n v="6482.98"/>
    <n v="47"/>
    <x v="2"/>
    <n v="702.44"/>
    <n v="1067.6600000000001"/>
    <s v="New"/>
    <n v="0.24"/>
    <s v="Cash"/>
    <s v="Retail"/>
    <s v="East-Charlie"/>
    <n v="33014.68"/>
    <n v="50180.020000000004"/>
    <n v="17165.340000000004"/>
  </r>
  <r>
    <n v="1061"/>
    <d v="2023-01-25T00:00:00"/>
    <s v="Bob"/>
    <s v="East"/>
    <n v="2375.2800000000002"/>
    <n v="38"/>
    <x v="0"/>
    <n v="4440.8599999999997"/>
    <n v="4506.8099999999904"/>
    <s v="Returning"/>
    <n v="0.24"/>
    <s v="Bank Transfer"/>
    <s v="Online"/>
    <s v="East-Bob"/>
    <n v="168752.68"/>
    <n v="171258.77999999962"/>
    <n v="2506.0999999996275"/>
  </r>
  <r>
    <n v="1081"/>
    <d v="2023-10-28T00:00:00"/>
    <s v="Charlie"/>
    <s v="North"/>
    <n v="5571.36"/>
    <n v="23"/>
    <x v="1"/>
    <n v="1411.37"/>
    <n v="1675.35"/>
    <s v="New"/>
    <n v="0.21"/>
    <s v="Cash"/>
    <s v="Retail"/>
    <s v="North-Charlie"/>
    <n v="32461.51"/>
    <n v="38533.049999999996"/>
    <n v="6071.5399999999972"/>
  </r>
  <r>
    <n v="1026"/>
    <d v="2023-08-31T00:00:00"/>
    <s v="Alice"/>
    <s v="East"/>
    <n v="3784.52"/>
    <n v="25"/>
    <x v="3"/>
    <n v="1156.8800000000001"/>
    <n v="1454.68"/>
    <s v="Returning"/>
    <n v="0.06"/>
    <s v="Credit Card"/>
    <s v="Online"/>
    <s v="East-Alice"/>
    <n v="28922.000000000004"/>
    <n v="36367"/>
    <n v="7444.9999999999964"/>
  </r>
  <r>
    <n v="1036"/>
    <d v="2023-05-02T00:00:00"/>
    <s v="David"/>
    <s v="North"/>
    <n v="6650.51"/>
    <n v="42"/>
    <x v="0"/>
    <n v="4292.63"/>
    <n v="4387.99"/>
    <s v="New"/>
    <n v="7.0000000000000007E-2"/>
    <s v="Credit Card"/>
    <s v="Retail"/>
    <s v="North-David"/>
    <n v="180290.46"/>
    <n v="184295.58"/>
    <n v="4005.1199999999953"/>
  </r>
  <r>
    <n v="1001"/>
    <d v="2023-05-27T00:00:00"/>
    <s v="Alice"/>
    <s v="South"/>
    <n v="1498.11"/>
    <n v="7"/>
    <x v="3"/>
    <n v="4094.68"/>
    <n v="4576.5"/>
    <s v="New"/>
    <n v="0.3"/>
    <s v="Cash"/>
    <s v="Retail"/>
    <s v="South-Alice"/>
    <n v="28662.76"/>
    <n v="32035.5"/>
    <n v="3372.7400000000016"/>
  </r>
  <r>
    <n v="1008"/>
    <d v="2023-02-24T00:00:00"/>
    <s v="Eve"/>
    <s v="West"/>
    <n v="5751.69"/>
    <n v="22"/>
    <x v="3"/>
    <n v="2269.3200000000002"/>
    <n v="2365.35"/>
    <s v="New"/>
    <n v="0.03"/>
    <s v="Cash"/>
    <s v="Retail"/>
    <s v="West-Eve"/>
    <n v="49925.04"/>
    <n v="52037.7"/>
    <n v="2112.6599999999962"/>
  </r>
  <r>
    <n v="1099"/>
    <d v="2023-08-26T00:00:00"/>
    <s v="David"/>
    <s v="West"/>
    <n v="1934.18"/>
    <n v="17"/>
    <x v="1"/>
    <n v="2471.73"/>
    <n v="2568.73"/>
    <s v="New"/>
    <n v="0.05"/>
    <s v="Cash"/>
    <s v="Retail"/>
    <s v="West-David"/>
    <n v="42019.41"/>
    <n v="43668.41"/>
    <n v="1649"/>
  </r>
  <r>
    <n v="1052"/>
    <d v="2023-12-22T00:00:00"/>
    <s v="Charlie"/>
    <s v="West"/>
    <n v="2858.57"/>
    <n v="18"/>
    <x v="1"/>
    <n v="1127.8599999999999"/>
    <n v="1586.29"/>
    <s v="New"/>
    <n v="0.04"/>
    <s v="Credit Card"/>
    <s v="Online"/>
    <s v="West-Charlie"/>
    <n v="20301.48"/>
    <n v="28553.22"/>
    <n v="8251.7400000000016"/>
  </r>
  <r>
    <n v="1079"/>
    <d v="2023-06-22T00:00:00"/>
    <s v="Eve"/>
    <s v="East"/>
    <n v="2265.23"/>
    <n v="49"/>
    <x v="2"/>
    <n v="437.59"/>
    <n v="675.54"/>
    <s v="Returning"/>
    <n v="0.1"/>
    <s v="Cash"/>
    <s v="Online"/>
    <s v="East-Eve"/>
    <n v="21441.91"/>
    <n v="33101.46"/>
    <n v="11659.55"/>
  </r>
  <r>
    <n v="1047"/>
    <d v="2023-08-09T00:00:00"/>
    <s v="David"/>
    <s v="North"/>
    <n v="1910.09"/>
    <n v="41"/>
    <x v="2"/>
    <n v="2888.49"/>
    <n v="2929.45"/>
    <s v="New"/>
    <n v="0.06"/>
    <s v="Cash"/>
    <s v="Retail"/>
    <s v="North-David"/>
    <n v="118428.09"/>
    <n v="120107.45"/>
    <n v="1679.3600000000006"/>
  </r>
  <r>
    <n v="1056"/>
    <d v="2023-04-29T00:00:00"/>
    <s v="Charlie"/>
    <s v="North"/>
    <n v="8274.5400000000009"/>
    <n v="10"/>
    <x v="2"/>
    <n v="536.80999999999995"/>
    <n v="839.92"/>
    <s v="Returning"/>
    <n v="0.15"/>
    <s v="Bank Transfer"/>
    <s v="Online"/>
    <s v="North-Charlie"/>
    <n v="5368.0999999999995"/>
    <n v="8399.1999999999989"/>
    <n v="3031.0999999999995"/>
  </r>
  <r>
    <n v="1086"/>
    <d v="2023-11-05T00:00:00"/>
    <s v="Alice"/>
    <s v="South"/>
    <n v="2928.5"/>
    <n v="10"/>
    <x v="0"/>
    <n v="2273.91"/>
    <n v="2578.7999999999902"/>
    <s v="New"/>
    <n v="0.14000000000000001"/>
    <s v="Cash"/>
    <s v="Online"/>
    <s v="South-Alice"/>
    <n v="22739.1"/>
    <n v="25787.999999999902"/>
    <n v="3048.8999999999032"/>
  </r>
  <r>
    <n v="1014"/>
    <d v="2023-07-02T00:00:00"/>
    <s v="David"/>
    <s v="East"/>
    <n v="9278.5300000000007"/>
    <n v="7"/>
    <x v="2"/>
    <n v="4705.46"/>
    <n v="4747.07"/>
    <s v="New"/>
    <n v="0.27"/>
    <s v="Bank Transfer"/>
    <s v="Retail"/>
    <s v="East-David"/>
    <n v="32938.22"/>
    <n v="33229.49"/>
    <n v="291.2699999999968"/>
  </r>
  <r>
    <n v="1090"/>
    <d v="2023-10-15T00:00:00"/>
    <s v="Charlie"/>
    <s v="South"/>
    <n v="9702.27"/>
    <n v="48"/>
    <x v="3"/>
    <n v="4766.53"/>
    <n v="5253.07"/>
    <s v="Returning"/>
    <n v="0.01"/>
    <s v="Bank Transfer"/>
    <s v="Online"/>
    <s v="South-Charlie"/>
    <n v="228793.44"/>
    <n v="252147.36"/>
    <n v="23353.919999999984"/>
  </r>
  <r>
    <n v="1028"/>
    <d v="2023-11-03T00:00:00"/>
    <s v="Alice"/>
    <s v="North"/>
    <n v="5755.48"/>
    <n v="38"/>
    <x v="2"/>
    <n v="1234.69"/>
    <n v="1511.26"/>
    <s v="New"/>
    <n v="0.1"/>
    <s v="Bank Transfer"/>
    <s v="Online"/>
    <s v="North-Alice"/>
    <n v="46918.22"/>
    <n v="57427.88"/>
    <n v="10509.659999999996"/>
  </r>
  <r>
    <n v="1087"/>
    <d v="2023-10-27T00:00:00"/>
    <s v="Eve"/>
    <s v="North"/>
    <n v="1515.71"/>
    <n v="27"/>
    <x v="1"/>
    <n v="3139.36"/>
    <n v="3423.66"/>
    <s v="New"/>
    <n v="0.18"/>
    <s v="Credit Card"/>
    <s v="Online"/>
    <s v="North-Eve"/>
    <n v="84762.72"/>
    <n v="92438.819999999992"/>
    <n v="7676.0999999999913"/>
  </r>
  <r>
    <n v="1078"/>
    <d v="2023-03-23T00:00:00"/>
    <s v="Eve"/>
    <s v="West"/>
    <n v="3808.03"/>
    <n v="33"/>
    <x v="2"/>
    <n v="2396.6799999999998"/>
    <n v="2661.54"/>
    <s v="New"/>
    <n v="0.18"/>
    <s v="Bank Transfer"/>
    <s v="Online"/>
    <s v="West-Eve"/>
    <n v="79090.439999999988"/>
    <n v="87830.819999999992"/>
    <n v="8740.3800000000047"/>
  </r>
  <r>
    <n v="1088"/>
    <d v="2023-07-30T00:00:00"/>
    <s v="Eve"/>
    <s v="East"/>
    <n v="7997.55"/>
    <n v="1"/>
    <x v="0"/>
    <n v="4384.6400000000003"/>
    <n v="4693.8999999999996"/>
    <s v="New"/>
    <n v="0.14000000000000001"/>
    <s v="Cash"/>
    <s v="Retail"/>
    <s v="East-Eve"/>
    <n v="4384.6400000000003"/>
    <n v="4693.8999999999996"/>
    <n v="309.25999999999931"/>
  </r>
  <r>
    <n v="1002"/>
    <d v="2023-05-30T00:00:00"/>
    <s v="Eve"/>
    <s v="North"/>
    <n v="3737.17"/>
    <n v="44"/>
    <x v="0"/>
    <n v="1393.58"/>
    <n v="1533.09"/>
    <s v="Returning"/>
    <n v="0.24"/>
    <s v="Credit Card"/>
    <s v="Retail"/>
    <s v="North-Eve"/>
    <n v="61317.52"/>
    <n v="67455.959999999992"/>
    <n v="6138.4399999999951"/>
  </r>
  <r>
    <n v="1026"/>
    <d v="2023-02-06T00:00:00"/>
    <s v="Bob"/>
    <s v="West"/>
    <n v="961.47"/>
    <n v="34"/>
    <x v="3"/>
    <n v="68.33"/>
    <n v="219.07999999999899"/>
    <s v="New"/>
    <n v="0.02"/>
    <s v="Credit Card"/>
    <s v="Online"/>
    <s v="West-Bob"/>
    <n v="2323.2199999999998"/>
    <n v="7448.7199999999657"/>
    <n v="5125.4999999999654"/>
  </r>
  <r>
    <n v="1014"/>
    <d v="2023-12-18T00:00:00"/>
    <s v="David"/>
    <s v="East"/>
    <n v="5612.17"/>
    <n v="4"/>
    <x v="0"/>
    <n v="854.68"/>
    <n v="1115.24"/>
    <s v="New"/>
    <n v="0.24"/>
    <s v="Credit Card"/>
    <s v="Retail"/>
    <s v="East-David"/>
    <n v="3418.72"/>
    <n v="4460.96"/>
    <n v="1042.2400000000002"/>
  </r>
  <r>
    <n v="1059"/>
    <d v="2023-11-08T00:00:00"/>
    <s v="David"/>
    <s v="South"/>
    <n v="8466.7000000000007"/>
    <n v="17"/>
    <x v="2"/>
    <n v="1780.14"/>
    <n v="2185.42"/>
    <s v="Returning"/>
    <n v="0.15"/>
    <s v="Credit Card"/>
    <s v="Retail"/>
    <s v="South-David"/>
    <n v="30262.38"/>
    <n v="37152.14"/>
    <n v="6889.7599999999984"/>
  </r>
  <r>
    <n v="1056"/>
    <d v="2023-12-27T00:00:00"/>
    <s v="Bob"/>
    <s v="East"/>
    <n v="7979.67"/>
    <n v="4"/>
    <x v="1"/>
    <n v="1612.82"/>
    <n v="1647.25"/>
    <s v="Returning"/>
    <n v="0.04"/>
    <s v="Credit Card"/>
    <s v="Retail"/>
    <s v="East-Bob"/>
    <n v="6451.28"/>
    <n v="6589"/>
    <n v="137.72000000000025"/>
  </r>
  <r>
    <n v="1007"/>
    <d v="2023-02-28T00:00:00"/>
    <s v="Charlie"/>
    <s v="East"/>
    <n v="1833.72"/>
    <n v="43"/>
    <x v="0"/>
    <n v="3967.25"/>
    <n v="4272.92"/>
    <s v="New"/>
    <n v="0.27"/>
    <s v="Credit Card"/>
    <s v="Online"/>
    <s v="East-Charlie"/>
    <n v="170591.75"/>
    <n v="183735.56"/>
    <n v="13143.809999999998"/>
  </r>
  <r>
    <n v="1003"/>
    <d v="2023-05-11T00:00:00"/>
    <s v="Charlie"/>
    <s v="North"/>
    <n v="6760.37"/>
    <n v="26"/>
    <x v="3"/>
    <n v="3418.78"/>
    <n v="3824.1"/>
    <s v="New"/>
    <n v="0.19"/>
    <s v="Credit Card"/>
    <s v="Online"/>
    <s v="North-Charlie"/>
    <n v="88888.28"/>
    <n v="99426.599999999991"/>
    <n v="10538.319999999992"/>
  </r>
  <r>
    <n v="1023"/>
    <d v="2023-07-21T00:00:00"/>
    <s v="Eve"/>
    <s v="North"/>
    <n v="2282.9899999999998"/>
    <n v="4"/>
    <x v="2"/>
    <n v="1532.8"/>
    <n v="1619.69"/>
    <s v="Returning"/>
    <n v="0.05"/>
    <s v="Bank Transfer"/>
    <s v="Retail"/>
    <s v="North-Eve"/>
    <n v="6131.2"/>
    <n v="6478.76"/>
    <n v="347.5600000000004"/>
  </r>
  <r>
    <n v="1018"/>
    <d v="2023-08-31T00:00:00"/>
    <s v="Alice"/>
    <s v="East"/>
    <n v="2260.25"/>
    <n v="1"/>
    <x v="3"/>
    <n v="2315.83"/>
    <n v="2333.19"/>
    <s v="New"/>
    <n v="0.01"/>
    <s v="Cash"/>
    <s v="Retail"/>
    <s v="East-Alice"/>
    <n v="2315.83"/>
    <n v="2333.19"/>
    <n v="17.360000000000127"/>
  </r>
  <r>
    <n v="1038"/>
    <d v="2023-02-04T00:00:00"/>
    <s v="Charlie"/>
    <s v="North"/>
    <n v="8753.31"/>
    <n v="7"/>
    <x v="0"/>
    <n v="523.02"/>
    <n v="686.25"/>
    <s v="Returning"/>
    <n v="0.04"/>
    <s v="Cash"/>
    <s v="Online"/>
    <s v="North-Charlie"/>
    <n v="3661.14"/>
    <n v="4803.75"/>
    <n v="1142.6100000000001"/>
  </r>
  <r>
    <n v="1099"/>
    <d v="2023-04-03T00:00:00"/>
    <s v="Alice"/>
    <s v="North"/>
    <n v="2571.7199999999998"/>
    <n v="30"/>
    <x v="0"/>
    <n v="4495.82"/>
    <n v="4794.0099999999902"/>
    <s v="New"/>
    <n v="0.18"/>
    <s v="Bank Transfer"/>
    <s v="Retail"/>
    <s v="North-Alice"/>
    <n v="134874.59999999998"/>
    <n v="143820.2999999997"/>
    <n v="8945.6999999997206"/>
  </r>
  <r>
    <n v="1015"/>
    <d v="2023-07-26T00:00:00"/>
    <s v="David"/>
    <s v="North"/>
    <n v="2706.15"/>
    <n v="9"/>
    <x v="3"/>
    <n v="4680.3500000000004"/>
    <n v="4758.1099999999997"/>
    <s v="Returning"/>
    <n v="0.05"/>
    <s v="Bank Transfer"/>
    <s v="Online"/>
    <s v="North-David"/>
    <n v="42123.15"/>
    <n v="42822.99"/>
    <n v="699.83999999999651"/>
  </r>
  <r>
    <n v="1064"/>
    <d v="2023-12-19T00:00:00"/>
    <s v="Alice"/>
    <s v="West"/>
    <n v="106.47"/>
    <n v="35"/>
    <x v="2"/>
    <n v="4900.03"/>
    <n v="5118.83"/>
    <s v="Returning"/>
    <n v="7.0000000000000007E-2"/>
    <s v="Credit Card"/>
    <s v="Retail"/>
    <s v="West-Alice"/>
    <n v="171501.05"/>
    <n v="179159.05"/>
    <n v="7658"/>
  </r>
  <r>
    <n v="1089"/>
    <d v="2023-11-28T00:00:00"/>
    <s v="David"/>
    <s v="West"/>
    <n v="8719.6200000000008"/>
    <n v="8"/>
    <x v="0"/>
    <n v="4349.34"/>
    <n v="4629.9799999999996"/>
    <s v="Returning"/>
    <n v="0.01"/>
    <s v="Credit Card"/>
    <s v="Online"/>
    <s v="West-David"/>
    <n v="34794.720000000001"/>
    <n v="37039.839999999997"/>
    <n v="2245.1199999999953"/>
  </r>
  <r>
    <n v="1028"/>
    <d v="2023-11-01T00:00:00"/>
    <s v="Bob"/>
    <s v="East"/>
    <n v="7946.69"/>
    <n v="24"/>
    <x v="1"/>
    <n v="911.11"/>
    <n v="1214.56"/>
    <s v="New"/>
    <n v="0.22"/>
    <s v="Bank Transfer"/>
    <s v="Online"/>
    <s v="East-Bob"/>
    <n v="21866.639999999999"/>
    <n v="29149.439999999999"/>
    <n v="7282.7999999999993"/>
  </r>
  <r>
    <n v="1074"/>
    <d v="2023-12-16T00:00:00"/>
    <s v="Bob"/>
    <s v="North"/>
    <n v="6310.56"/>
    <n v="19"/>
    <x v="0"/>
    <n v="278.67"/>
    <n v="423.13"/>
    <s v="New"/>
    <n v="0.24"/>
    <s v="Credit Card"/>
    <s v="Online"/>
    <s v="North-Bob"/>
    <n v="5294.7300000000005"/>
    <n v="8039.47"/>
    <n v="2744.74"/>
  </r>
  <r>
    <n v="1039"/>
    <d v="2023-08-01T00:00:00"/>
    <s v="Eve"/>
    <s v="West"/>
    <n v="7527.63"/>
    <n v="36"/>
    <x v="2"/>
    <n v="2919"/>
    <n v="3125.01"/>
    <s v="New"/>
    <n v="0.24"/>
    <s v="Cash"/>
    <s v="Online"/>
    <s v="West-Eve"/>
    <n v="105084"/>
    <n v="112500.36000000002"/>
    <n v="7416.3600000000151"/>
  </r>
  <r>
    <n v="1057"/>
    <d v="2023-06-08T00:00:00"/>
    <s v="Charlie"/>
    <s v="East"/>
    <n v="1605.28"/>
    <n v="43"/>
    <x v="0"/>
    <n v="4567.3900000000003"/>
    <n v="4958.78"/>
    <s v="New"/>
    <n v="0.04"/>
    <s v="Cash"/>
    <s v="Retail"/>
    <s v="East-Charlie"/>
    <n v="196397.77000000002"/>
    <n v="213227.53999999998"/>
    <n v="16829.76999999996"/>
  </r>
  <r>
    <n v="1017"/>
    <d v="2023-01-24T00:00:00"/>
    <s v="Eve"/>
    <s v="North"/>
    <n v="4637.3999999999996"/>
    <n v="27"/>
    <x v="3"/>
    <n v="927.89"/>
    <n v="1399.09"/>
    <s v="Returning"/>
    <n v="0.27"/>
    <s v="Credit Card"/>
    <s v="Online"/>
    <s v="North-Eve"/>
    <n v="25053.03"/>
    <n v="37775.43"/>
    <n v="12722.400000000001"/>
  </r>
  <r>
    <n v="1086"/>
    <d v="2023-10-20T00:00:00"/>
    <s v="David"/>
    <s v="South"/>
    <n v="3577.07"/>
    <n v="32"/>
    <x v="0"/>
    <n v="84.86"/>
    <n v="517.17999999999995"/>
    <s v="Returning"/>
    <n v="0.2"/>
    <s v="Credit Card"/>
    <s v="Retail"/>
    <s v="South-David"/>
    <n v="2715.52"/>
    <n v="16549.759999999998"/>
    <n v="13834.239999999998"/>
  </r>
  <r>
    <n v="1090"/>
    <d v="2023-01-04T00:00:00"/>
    <s v="Eve"/>
    <s v="North"/>
    <n v="1028.3900000000001"/>
    <n v="14"/>
    <x v="0"/>
    <n v="4037.21"/>
    <n v="4323.71"/>
    <s v="Returning"/>
    <n v="0.27"/>
    <s v="Credit Card"/>
    <s v="Online"/>
    <s v="North-Eve"/>
    <n v="56520.94"/>
    <n v="60531.94"/>
    <n v="4011"/>
  </r>
  <r>
    <n v="1044"/>
    <d v="2023-08-08T00:00:00"/>
    <s v="Alice"/>
    <s v="North"/>
    <n v="4912.6899999999996"/>
    <n v="18"/>
    <x v="2"/>
    <n v="430.14"/>
    <n v="641.17999999999995"/>
    <s v="New"/>
    <n v="0.13"/>
    <s v="Cash"/>
    <s v="Online"/>
    <s v="North-Alice"/>
    <n v="7742.5199999999995"/>
    <n v="11541.24"/>
    <n v="3798.7200000000003"/>
  </r>
  <r>
    <n v="1025"/>
    <d v="2023-12-30T00:00:00"/>
    <s v="David"/>
    <s v="West"/>
    <n v="9215.32"/>
    <n v="28"/>
    <x v="3"/>
    <n v="2097.84"/>
    <n v="2270.9899999999998"/>
    <s v="New"/>
    <n v="0.13"/>
    <s v="Credit Card"/>
    <s v="Retail"/>
    <s v="West-David"/>
    <n v="58739.520000000004"/>
    <n v="63587.719999999994"/>
    <n v="4848.1999999999898"/>
  </r>
  <r>
    <n v="1017"/>
    <d v="2023-01-20T00:00:00"/>
    <s v="Bob"/>
    <s v="East"/>
    <n v="496.59"/>
    <n v="29"/>
    <x v="2"/>
    <n v="3410.49"/>
    <n v="3481.72"/>
    <s v="New"/>
    <n v="0.24"/>
    <s v="Bank Transfer"/>
    <s v="Retail"/>
    <s v="East-Bob"/>
    <n v="98904.209999999992"/>
    <n v="100969.87999999999"/>
    <n v="2065.6699999999983"/>
  </r>
  <r>
    <n v="1013"/>
    <d v="2023-06-01T00:00:00"/>
    <s v="Charlie"/>
    <s v="East"/>
    <n v="2985.46"/>
    <n v="16"/>
    <x v="0"/>
    <n v="1222.1500000000001"/>
    <n v="1284.3599999999999"/>
    <s v="Returning"/>
    <n v="0.03"/>
    <s v="Credit Card"/>
    <s v="Retail"/>
    <s v="East-Charlie"/>
    <n v="19554.400000000001"/>
    <n v="20549.759999999998"/>
    <n v="995.35999999999694"/>
  </r>
  <r>
    <n v="1084"/>
    <d v="2023-02-19T00:00:00"/>
    <s v="David"/>
    <s v="West"/>
    <n v="2154.66"/>
    <n v="35"/>
    <x v="1"/>
    <n v="465.61"/>
    <n v="812.91"/>
    <s v="New"/>
    <n v="0.16"/>
    <s v="Bank Transfer"/>
    <s v="Online"/>
    <s v="West-David"/>
    <n v="16296.35"/>
    <n v="28451.85"/>
    <n v="12155.499999999998"/>
  </r>
  <r>
    <n v="1025"/>
    <d v="2023-06-26T00:00:00"/>
    <s v="David"/>
    <s v="North"/>
    <n v="2457.65"/>
    <n v="47"/>
    <x v="0"/>
    <n v="3861.61"/>
    <n v="3998.91"/>
    <s v="New"/>
    <n v="0.25"/>
    <s v="Credit Card"/>
    <s v="Online"/>
    <s v="North-David"/>
    <n v="181495.67"/>
    <n v="187948.77"/>
    <n v="6453.0999999999767"/>
  </r>
  <r>
    <n v="1068"/>
    <d v="2023-04-06T00:00:00"/>
    <s v="Alice"/>
    <s v="South"/>
    <n v="9093.5"/>
    <n v="31"/>
    <x v="2"/>
    <n v="3169.37"/>
    <n v="3304.15"/>
    <s v="Returning"/>
    <n v="0.25"/>
    <s v="Credit Card"/>
    <s v="Retail"/>
    <s v="South-Alice"/>
    <n v="98250.47"/>
    <n v="102428.65000000001"/>
    <n v="4178.1800000000076"/>
  </r>
  <r>
    <n v="1010"/>
    <d v="2023-04-15T00:00:00"/>
    <s v="Charlie"/>
    <s v="North"/>
    <n v="4733.88"/>
    <n v="4"/>
    <x v="1"/>
    <n v="4943.03"/>
    <n v="5442.15"/>
    <s v="Returning"/>
    <n v="0.28999999999999998"/>
    <s v="Cash"/>
    <s v="Online"/>
    <s v="North-Charlie"/>
    <n v="19772.12"/>
    <n v="21768.6"/>
    <n v="1996.4799999999996"/>
  </r>
  <r>
    <n v="1067"/>
    <d v="2023-09-07T00:00:00"/>
    <s v="Bob"/>
    <s v="North"/>
    <n v="4716.3599999999997"/>
    <n v="37"/>
    <x v="2"/>
    <n v="1754.32"/>
    <n v="1856.3999999999901"/>
    <s v="New"/>
    <n v="0.21"/>
    <s v="Bank Transfer"/>
    <s v="Retail"/>
    <s v="North-Bob"/>
    <n v="64909.84"/>
    <n v="68686.799999999639"/>
    <n v="3776.9599999996426"/>
  </r>
  <r>
    <n v="1018"/>
    <d v="2023-04-27T00:00:00"/>
    <s v="David"/>
    <s v="South"/>
    <n v="7629.7"/>
    <n v="17"/>
    <x v="2"/>
    <n v="355.72"/>
    <n v="438.27"/>
    <s v="Returning"/>
    <n v="0.06"/>
    <s v="Bank Transfer"/>
    <s v="Online"/>
    <s v="South-David"/>
    <n v="6047.2400000000007"/>
    <n v="7450.59"/>
    <n v="1403.3499999999995"/>
  </r>
  <r>
    <n v="1100"/>
    <d v="2023-12-20T00:00:00"/>
    <s v="David"/>
    <s v="West"/>
    <n v="1629.47"/>
    <n v="39"/>
    <x v="3"/>
    <n v="3685.03"/>
    <n v="3743.39"/>
    <s v="New"/>
    <n v="0.01"/>
    <s v="Bank Transfer"/>
    <s v="Online"/>
    <s v="West-David"/>
    <n v="143716.17000000001"/>
    <n v="145992.21"/>
    <n v="2276.039999999979"/>
  </r>
  <r>
    <n v="1086"/>
    <d v="2023-08-16T00:00:00"/>
    <s v="Alice"/>
    <s v="East"/>
    <n v="4923.93"/>
    <n v="48"/>
    <x v="1"/>
    <n v="2632.58"/>
    <n v="2926.68"/>
    <s v="Returning"/>
    <n v="0.14000000000000001"/>
    <s v="Cash"/>
    <s v="Online"/>
    <s v="East-Alice"/>
    <n v="126363.84"/>
    <n v="140480.63999999998"/>
    <n v="14116.79999999998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3-02-03T00:00:00"/>
    <s v="Bob"/>
    <s v="North"/>
    <n v="5053.97"/>
    <n v="18"/>
    <x v="0"/>
    <n v="152.75"/>
    <n v="267.22000000000003"/>
    <s v="Returning"/>
    <n v="0.09"/>
    <s v="Cash"/>
    <s v="Online"/>
    <s v="North-Bob"/>
    <n v="2749.5"/>
    <n v="4809.9600000000009"/>
    <n v="2060.4600000000009"/>
  </r>
  <r>
    <d v="2023-04-21T00:00:00"/>
    <s v="Bob"/>
    <s v="West"/>
    <n v="4384.0200000000004"/>
    <n v="17"/>
    <x v="0"/>
    <n v="3816.39"/>
    <n v="4209.4399999999996"/>
    <s v="Returning"/>
    <n v="0.11"/>
    <s v="Cash"/>
    <s v="Retail"/>
    <s v="West-Bob"/>
    <n v="64878.63"/>
    <n v="71560.479999999996"/>
    <n v="6681.8499999999985"/>
  </r>
  <r>
    <d v="2023-09-21T00:00:00"/>
    <s v="David"/>
    <s v="South"/>
    <n v="4631.2299999999996"/>
    <n v="30"/>
    <x v="1"/>
    <n v="261.56"/>
    <n v="371.4"/>
    <s v="Returning"/>
    <n v="0.2"/>
    <s v="Bank Transfer"/>
    <s v="Retail"/>
    <s v="South-David"/>
    <n v="7846.8"/>
    <n v="11142"/>
    <n v="3295.2"/>
  </r>
  <r>
    <d v="2023-08-24T00:00:00"/>
    <s v="Bob"/>
    <s v="South"/>
    <n v="2167.94"/>
    <n v="39"/>
    <x v="2"/>
    <n v="4330.03"/>
    <n v="4467.75"/>
    <s v="New"/>
    <n v="0.02"/>
    <s v="Credit Card"/>
    <s v="Retail"/>
    <s v="South-Bob"/>
    <n v="168871.16999999998"/>
    <n v="174242.25"/>
    <n v="5371.0800000000163"/>
  </r>
  <r>
    <d v="2023-03-24T00:00:00"/>
    <s v="Charlie"/>
    <s v="East"/>
    <n v="3750.2"/>
    <n v="13"/>
    <x v="3"/>
    <n v="637.37"/>
    <n v="692.71"/>
    <s v="New"/>
    <n v="0.08"/>
    <s v="Credit Card"/>
    <s v="Online"/>
    <s v="East-Charlie"/>
    <n v="8285.81"/>
    <n v="9005.23"/>
    <n v="719.42000000000007"/>
  </r>
  <r>
    <d v="2023-02-11T00:00:00"/>
    <s v="Charlie"/>
    <s v="West"/>
    <n v="3761.15"/>
    <n v="32"/>
    <x v="1"/>
    <n v="900.79"/>
    <n v="1106.51"/>
    <s v="New"/>
    <n v="0.21"/>
    <s v="Cash"/>
    <s v="Online"/>
    <s v="West-Charlie"/>
    <n v="28825.279999999999"/>
    <n v="35408.32"/>
    <n v="6583.0400000000009"/>
  </r>
  <r>
    <d v="2023-04-11T00:00:00"/>
    <s v="Bob"/>
    <s v="West"/>
    <n v="618.30999999999995"/>
    <n v="29"/>
    <x v="0"/>
    <n v="2408.81"/>
    <n v="2624.09"/>
    <s v="Returning"/>
    <n v="0.14000000000000001"/>
    <s v="Cash"/>
    <s v="Online"/>
    <s v="West-Bob"/>
    <n v="69855.490000000005"/>
    <n v="76098.61"/>
    <n v="6243.1199999999953"/>
  </r>
  <r>
    <d v="2023-01-06T00:00:00"/>
    <s v="Eve"/>
    <s v="South"/>
    <n v="7698.92"/>
    <n v="46"/>
    <x v="0"/>
    <n v="3702.51"/>
    <n v="3964.65"/>
    <s v="New"/>
    <n v="0.12"/>
    <s v="Bank Transfer"/>
    <s v="Online"/>
    <s v="South-Eve"/>
    <n v="170315.46000000002"/>
    <n v="182373.9"/>
    <n v="12058.439999999973"/>
  </r>
  <r>
    <d v="2023-06-29T00:00:00"/>
    <s v="David"/>
    <s v="South"/>
    <n v="4223.3900000000003"/>
    <n v="30"/>
    <x v="0"/>
    <n v="738.06"/>
    <n v="1095.44999999999"/>
    <s v="New"/>
    <n v="0.05"/>
    <s v="Bank Transfer"/>
    <s v="Online"/>
    <s v="South-David"/>
    <n v="22141.8"/>
    <n v="32863.499999999702"/>
    <n v="10721.699999999702"/>
  </r>
  <r>
    <d v="2023-10-09T00:00:00"/>
    <s v="Charlie"/>
    <s v="West"/>
    <n v="8239.58"/>
    <n v="18"/>
    <x v="2"/>
    <n v="2228.35"/>
    <n v="2682.34"/>
    <s v="New"/>
    <n v="0.13"/>
    <s v="Bank Transfer"/>
    <s v="Online"/>
    <s v="West-Charlie"/>
    <n v="40110.299999999996"/>
    <n v="48282.12"/>
    <n v="8171.820000000007"/>
  </r>
  <r>
    <d v="2023-11-16T00:00:00"/>
    <s v="Eve"/>
    <s v="North"/>
    <n v="8518.4500000000007"/>
    <n v="13"/>
    <x v="0"/>
    <n v="2440.11"/>
    <n v="2517.6"/>
    <s v="New"/>
    <n v="0.23"/>
    <s v="Bank Transfer"/>
    <s v="Retail"/>
    <s v="North-Eve"/>
    <n v="31721.43"/>
    <n v="32728.799999999999"/>
    <n v="1007.369999999999"/>
  </r>
  <r>
    <d v="2023-08-14T00:00:00"/>
    <s v="Bob"/>
    <s v="West"/>
    <n v="2198.7399999999998"/>
    <n v="43"/>
    <x v="1"/>
    <n v="1100.81"/>
    <n v="1137.44"/>
    <s v="Returning"/>
    <n v="0.08"/>
    <s v="Bank Transfer"/>
    <s v="Online"/>
    <s v="West-Bob"/>
    <n v="47334.829999999994"/>
    <n v="48909.920000000006"/>
    <n v="1575.0900000000111"/>
  </r>
  <r>
    <d v="2023-11-11T00:00:00"/>
    <s v="Eve"/>
    <s v="West"/>
    <n v="6607.8"/>
    <n v="21"/>
    <x v="1"/>
    <n v="622.01"/>
    <n v="641.09"/>
    <s v="Returning"/>
    <n v="0"/>
    <s v="Bank Transfer"/>
    <s v="Retail"/>
    <s v="West-Eve"/>
    <n v="13062.21"/>
    <n v="13462.890000000001"/>
    <n v="400.68000000000211"/>
  </r>
  <r>
    <d v="2023-12-31T00:00:00"/>
    <s v="Alice"/>
    <s v="South"/>
    <n v="4775.59"/>
    <n v="30"/>
    <x v="0"/>
    <n v="4190.28"/>
    <n v="4270.6499999999996"/>
    <s v="New"/>
    <n v="0.2"/>
    <s v="Cash"/>
    <s v="Online"/>
    <s v="South-Alice"/>
    <n v="125708.4"/>
    <n v="128119.49999999999"/>
    <n v="2411.0999999999913"/>
  </r>
  <r>
    <d v="2023-08-17T00:00:00"/>
    <s v="Charlie"/>
    <s v="South"/>
    <n v="8813.5499999999993"/>
    <n v="21"/>
    <x v="1"/>
    <n v="2537.1999999999998"/>
    <n v="2869.6"/>
    <s v="New"/>
    <n v="0.28999999999999998"/>
    <s v="Bank Transfer"/>
    <s v="Retail"/>
    <s v="South-Charlie"/>
    <n v="53281.2"/>
    <n v="60261.599999999999"/>
    <n v="6980.4000000000015"/>
  </r>
  <r>
    <d v="2023-10-16T00:00:00"/>
    <s v="Bob"/>
    <s v="North"/>
    <n v="2235.83"/>
    <n v="48"/>
    <x v="0"/>
    <n v="121.19"/>
    <n v="487.65"/>
    <s v="New"/>
    <n v="0.18"/>
    <s v="Cash"/>
    <s v="Retail"/>
    <s v="North-Bob"/>
    <n v="5817.12"/>
    <n v="23407.199999999997"/>
    <n v="17590.079999999998"/>
  </r>
  <r>
    <d v="2023-05-30T00:00:00"/>
    <s v="David"/>
    <s v="North"/>
    <n v="6810.35"/>
    <n v="17"/>
    <x v="0"/>
    <n v="4024.76"/>
    <n v="4420.1499999999996"/>
    <s v="Returning"/>
    <n v="0.04"/>
    <s v="Cash"/>
    <s v="Online"/>
    <s v="North-David"/>
    <n v="68420.92"/>
    <n v="75142.549999999988"/>
    <n v="6721.6299999999901"/>
  </r>
  <r>
    <d v="2023-10-04T00:00:00"/>
    <s v="Bob"/>
    <s v="East"/>
    <n v="6116.75"/>
    <n v="40"/>
    <x v="3"/>
    <n v="4904.93"/>
    <n v="5034.3500000000004"/>
    <s v="New"/>
    <n v="0.1"/>
    <s v="Credit Card"/>
    <s v="Retail"/>
    <s v="East-Bob"/>
    <n v="196197.2"/>
    <n v="201374"/>
    <n v="5176.7999999999884"/>
  </r>
  <r>
    <d v="2023-07-17T00:00:00"/>
    <s v="David"/>
    <s v="West"/>
    <n v="3023.48"/>
    <n v="19"/>
    <x v="2"/>
    <n v="3049.33"/>
    <n v="3209.22"/>
    <s v="Returning"/>
    <n v="0.26"/>
    <s v="Cash"/>
    <s v="Online"/>
    <s v="West-David"/>
    <n v="57937.27"/>
    <n v="60975.179999999993"/>
    <n v="3037.9099999999962"/>
  </r>
  <r>
    <d v="2023-03-11T00:00:00"/>
    <s v="Bob"/>
    <s v="South"/>
    <n v="1452.35"/>
    <n v="15"/>
    <x v="2"/>
    <n v="2543.36"/>
    <n v="2790.1"/>
    <s v="Returning"/>
    <n v="7.0000000000000007E-2"/>
    <s v="Cash"/>
    <s v="Online"/>
    <s v="South-Bob"/>
    <n v="38150.400000000001"/>
    <n v="41851.5"/>
    <n v="3701.0999999999985"/>
  </r>
  <r>
    <d v="2023-04-22T00:00:00"/>
    <s v="Eve"/>
    <s v="North"/>
    <n v="6551.23"/>
    <n v="9"/>
    <x v="3"/>
    <n v="4398.16"/>
    <n v="4439.12"/>
    <s v="New"/>
    <n v="0.18"/>
    <s v="Bank Transfer"/>
    <s v="Online"/>
    <s v="North-Eve"/>
    <n v="39583.440000000002"/>
    <n v="39952.080000000002"/>
    <n v="368.63999999999942"/>
  </r>
  <r>
    <d v="2023-01-04T00:00:00"/>
    <s v="Eve"/>
    <s v="East"/>
    <n v="7412.11"/>
    <n v="10"/>
    <x v="3"/>
    <n v="4764.96"/>
    <n v="5074.42"/>
    <s v="New"/>
    <n v="0.12"/>
    <s v="Cash"/>
    <s v="Online"/>
    <s v="East-Eve"/>
    <n v="47649.599999999999"/>
    <n v="50744.2"/>
    <n v="3094.5999999999985"/>
  </r>
  <r>
    <d v="2023-12-16T00:00:00"/>
    <s v="Eve"/>
    <s v="East"/>
    <n v="3224.71"/>
    <n v="44"/>
    <x v="2"/>
    <n v="3784.96"/>
    <n v="4276.99"/>
    <s v="New"/>
    <n v="0.06"/>
    <s v="Bank Transfer"/>
    <s v="Retail"/>
    <s v="East-Eve"/>
    <n v="166538.23999999999"/>
    <n v="188187.56"/>
    <n v="21649.320000000007"/>
  </r>
  <r>
    <d v="2023-11-27T00:00:00"/>
    <s v="Alice"/>
    <s v="South"/>
    <n v="6483.84"/>
    <n v="31"/>
    <x v="0"/>
    <n v="2254.9899999999998"/>
    <n v="2441.79"/>
    <s v="Returning"/>
    <n v="0.24"/>
    <s v="Bank Transfer"/>
    <s v="Online"/>
    <s v="South-Alice"/>
    <n v="69904.689999999988"/>
    <n v="75695.490000000005"/>
    <n v="5790.8000000000175"/>
  </r>
  <r>
    <d v="2023-11-14T00:00:00"/>
    <s v="David"/>
    <s v="South"/>
    <n v="4011.8"/>
    <n v="23"/>
    <x v="0"/>
    <n v="2981.5"/>
    <n v="3360.4"/>
    <s v="Returning"/>
    <n v="0.22"/>
    <s v="Bank Transfer"/>
    <s v="Retail"/>
    <s v="South-David"/>
    <n v="68574.5"/>
    <n v="77289.2"/>
    <n v="8714.6999999999971"/>
  </r>
  <r>
    <d v="2023-12-16T00:00:00"/>
    <s v="Eve"/>
    <s v="East"/>
    <n v="7160.75"/>
    <n v="30"/>
    <x v="2"/>
    <n v="3519.63"/>
    <n v="3774.65"/>
    <s v="New"/>
    <n v="0.2"/>
    <s v="Credit Card"/>
    <s v="Retail"/>
    <s v="East-Eve"/>
    <n v="105588.90000000001"/>
    <n v="113239.5"/>
    <n v="7650.5999999999913"/>
  </r>
  <r>
    <d v="2023-04-05T00:00:00"/>
    <s v="Alice"/>
    <s v="North"/>
    <n v="2072.23"/>
    <n v="33"/>
    <x v="0"/>
    <n v="1011.65"/>
    <n v="1084.28"/>
    <s v="Returning"/>
    <n v="7.0000000000000007E-2"/>
    <s v="Bank Transfer"/>
    <s v="Retail"/>
    <s v="North-Alice"/>
    <n v="33384.449999999997"/>
    <n v="35781.24"/>
    <n v="2396.7900000000009"/>
  </r>
  <r>
    <d v="2023-06-01T00:00:00"/>
    <s v="David"/>
    <s v="East"/>
    <n v="8913.1299999999992"/>
    <n v="9"/>
    <x v="3"/>
    <n v="2263.65"/>
    <n v="2558.9499999999998"/>
    <s v="New"/>
    <n v="0.03"/>
    <s v="Cash"/>
    <s v="Online"/>
    <s v="East-David"/>
    <n v="20372.850000000002"/>
    <n v="23030.55"/>
    <n v="2657.6999999999971"/>
  </r>
  <r>
    <d v="2023-11-07T00:00:00"/>
    <s v="Bob"/>
    <s v="West"/>
    <n v="2945.36"/>
    <n v="47"/>
    <x v="0"/>
    <n v="4157.62"/>
    <n v="4314.5599999999904"/>
    <s v="New"/>
    <n v="0.17"/>
    <s v="Bank Transfer"/>
    <s v="Retail"/>
    <s v="West-Bob"/>
    <n v="195408.13999999998"/>
    <n v="202784.31999999954"/>
    <n v="7376.1799999995565"/>
  </r>
  <r>
    <d v="2023-05-17T00:00:00"/>
    <s v="Alice"/>
    <s v="West"/>
    <n v="3741.08"/>
    <n v="1"/>
    <x v="0"/>
    <n v="3290.89"/>
    <n v="3317.75"/>
    <s v="Returning"/>
    <n v="0.17"/>
    <s v="Bank Transfer"/>
    <s v="Online"/>
    <s v="West-Alice"/>
    <n v="3290.89"/>
    <n v="3317.75"/>
    <n v="26.860000000000127"/>
  </r>
  <r>
    <d v="2023-09-04T00:00:00"/>
    <s v="Charlie"/>
    <s v="South"/>
    <n v="675.11"/>
    <n v="44"/>
    <x v="1"/>
    <n v="2085.46"/>
    <n v="2406.58"/>
    <s v="Returning"/>
    <n v="0.06"/>
    <s v="Bank Transfer"/>
    <s v="Retail"/>
    <s v="South-Charlie"/>
    <n v="91760.24"/>
    <n v="105889.51999999999"/>
    <n v="14129.279999999984"/>
  </r>
  <r>
    <d v="2023-08-31T00:00:00"/>
    <s v="Alice"/>
    <s v="North"/>
    <n v="1203.97"/>
    <n v="35"/>
    <x v="1"/>
    <n v="3333.64"/>
    <n v="3764.52"/>
    <s v="Returning"/>
    <n v="0.02"/>
    <s v="Credit Card"/>
    <s v="Online"/>
    <s v="North-Alice"/>
    <n v="116677.4"/>
    <n v="131758.20000000001"/>
    <n v="15080.800000000017"/>
  </r>
  <r>
    <d v="2023-01-31T00:00:00"/>
    <s v="Alice"/>
    <s v="North"/>
    <n v="5207.03"/>
    <n v="11"/>
    <x v="1"/>
    <n v="635.20000000000005"/>
    <n v="814.14"/>
    <s v="Returning"/>
    <n v="0.02"/>
    <s v="Cash"/>
    <s v="Online"/>
    <s v="North-Alice"/>
    <n v="6987.2000000000007"/>
    <n v="8955.5399999999991"/>
    <n v="1968.3399999999983"/>
  </r>
  <r>
    <d v="2023-02-09T00:00:00"/>
    <s v="David"/>
    <s v="West"/>
    <n v="2749.17"/>
    <n v="34"/>
    <x v="0"/>
    <n v="2037.41"/>
    <n v="2238.65"/>
    <s v="New"/>
    <n v="0.3"/>
    <s v="Credit Card"/>
    <s v="Online"/>
    <s v="West-David"/>
    <n v="69271.94"/>
    <n v="76114.100000000006"/>
    <n v="6842.1600000000035"/>
  </r>
  <r>
    <d v="2023-08-17T00:00:00"/>
    <s v="Bob"/>
    <s v="East"/>
    <n v="8371.25"/>
    <n v="16"/>
    <x v="2"/>
    <n v="3975.99"/>
    <n v="4422.59"/>
    <s v="New"/>
    <n v="0.24"/>
    <s v="Cash"/>
    <s v="Online"/>
    <s v="East-Bob"/>
    <n v="63615.839999999997"/>
    <n v="70761.440000000002"/>
    <n v="7145.6000000000058"/>
  </r>
  <r>
    <d v="2023-02-05T00:00:00"/>
    <s v="Charlie"/>
    <s v="South"/>
    <n v="245.46"/>
    <n v="9"/>
    <x v="3"/>
    <n v="1141.52"/>
    <n v="1550.19"/>
    <s v="New"/>
    <n v="0.28000000000000003"/>
    <s v="Credit Card"/>
    <s v="Retail"/>
    <s v="South-Charlie"/>
    <n v="10273.68"/>
    <n v="13951.710000000001"/>
    <n v="3678.0300000000007"/>
  </r>
  <r>
    <d v="2023-08-11T00:00:00"/>
    <s v="Eve"/>
    <s v="East"/>
    <n v="3853.03"/>
    <n v="32"/>
    <x v="0"/>
    <n v="970.51"/>
    <n v="1330.84"/>
    <s v="Returning"/>
    <n v="0.06"/>
    <s v="Cash"/>
    <s v="Retail"/>
    <s v="East-Eve"/>
    <n v="31056.32"/>
    <n v="42586.879999999997"/>
    <n v="11530.559999999998"/>
  </r>
  <r>
    <d v="2023-01-06T00:00:00"/>
    <s v="Eve"/>
    <s v="East"/>
    <n v="3439.72"/>
    <n v="15"/>
    <x v="2"/>
    <n v="4756.55"/>
    <n v="4888.46"/>
    <s v="New"/>
    <n v="0.28999999999999998"/>
    <s v="Credit Card"/>
    <s v="Online"/>
    <s v="East-Eve"/>
    <n v="71348.25"/>
    <n v="73326.899999999994"/>
    <n v="1978.6499999999942"/>
  </r>
  <r>
    <d v="2023-11-18T00:00:00"/>
    <s v="Alice"/>
    <s v="East"/>
    <n v="291.33999999999997"/>
    <n v="12"/>
    <x v="0"/>
    <n v="1088.99"/>
    <n v="1545"/>
    <s v="Returning"/>
    <n v="0.04"/>
    <s v="Bank Transfer"/>
    <s v="Retail"/>
    <s v="East-Alice"/>
    <n v="13067.880000000001"/>
    <n v="18540"/>
    <n v="5472.119999999999"/>
  </r>
  <r>
    <d v="2023-08-08T00:00:00"/>
    <s v="David"/>
    <s v="North"/>
    <n v="1331.25"/>
    <n v="33"/>
    <x v="3"/>
    <n v="1341.55"/>
    <n v="1427.21"/>
    <s v="Returning"/>
    <n v="0.15"/>
    <s v="Credit Card"/>
    <s v="Online"/>
    <s v="North-David"/>
    <n v="44271.15"/>
    <n v="47097.93"/>
    <n v="2826.7799999999988"/>
  </r>
  <r>
    <d v="2023-03-16T00:00:00"/>
    <s v="David"/>
    <s v="West"/>
    <n v="4195.0600000000004"/>
    <n v="45"/>
    <x v="0"/>
    <n v="4849.6000000000004"/>
    <n v="5166.72"/>
    <s v="Returning"/>
    <n v="0.25"/>
    <s v="Credit Card"/>
    <s v="Online"/>
    <s v="West-David"/>
    <n v="218232.00000000003"/>
    <n v="232502.40000000002"/>
    <n v="14270.399999999994"/>
  </r>
  <r>
    <d v="2023-01-04T00:00:00"/>
    <s v="Eve"/>
    <s v="North"/>
    <n v="4979.3599999999997"/>
    <n v="14"/>
    <x v="3"/>
    <n v="3686.81"/>
    <n v="3710.92"/>
    <s v="New"/>
    <n v="0.1"/>
    <s v="Bank Transfer"/>
    <s v="Retail"/>
    <s v="North-Eve"/>
    <n v="51615.34"/>
    <n v="51952.880000000005"/>
    <n v="337.54000000000815"/>
  </r>
  <r>
    <d v="2023-12-01T00:00:00"/>
    <s v="Charlie"/>
    <s v="West"/>
    <n v="4102.47"/>
    <n v="8"/>
    <x v="0"/>
    <n v="3513"/>
    <n v="3838.42"/>
    <s v="Returning"/>
    <n v="0.13"/>
    <s v="Bank Transfer"/>
    <s v="Online"/>
    <s v="West-Charlie"/>
    <n v="28104"/>
    <n v="30707.360000000001"/>
    <n v="2603.3600000000006"/>
  </r>
  <r>
    <d v="2023-05-14T00:00:00"/>
    <s v="Bob"/>
    <s v="South"/>
    <n v="5356.28"/>
    <n v="8"/>
    <x v="3"/>
    <n v="4271.99"/>
    <n v="4417.79"/>
    <s v="Returning"/>
    <n v="0.04"/>
    <s v="Cash"/>
    <s v="Online"/>
    <s v="South-Bob"/>
    <n v="34175.919999999998"/>
    <n v="35342.32"/>
    <n v="1166.4000000000015"/>
  </r>
  <r>
    <d v="2023-04-28T00:00:00"/>
    <s v="Charlie"/>
    <s v="South"/>
    <n v="5991.8"/>
    <n v="27"/>
    <x v="0"/>
    <n v="623.32000000000005"/>
    <n v="853.66"/>
    <s v="Returning"/>
    <n v="0.04"/>
    <s v="Cash"/>
    <s v="Online"/>
    <s v="South-Charlie"/>
    <n v="16829.640000000003"/>
    <n v="23048.82"/>
    <n v="6219.1799999999967"/>
  </r>
  <r>
    <d v="2023-04-04T00:00:00"/>
    <s v="Bob"/>
    <s v="East"/>
    <n v="198.25"/>
    <n v="12"/>
    <x v="3"/>
    <n v="3544.48"/>
    <n v="3723.66"/>
    <s v="Returning"/>
    <n v="0.19"/>
    <s v="Cash"/>
    <s v="Online"/>
    <s v="East-Bob"/>
    <n v="42533.760000000002"/>
    <n v="44683.92"/>
    <n v="2150.1599999999962"/>
  </r>
  <r>
    <d v="2023-03-03T00:00:00"/>
    <s v="Eve"/>
    <s v="West"/>
    <n v="4694.54"/>
    <n v="1"/>
    <x v="1"/>
    <n v="2543.2600000000002"/>
    <n v="2637.91"/>
    <s v="Returning"/>
    <n v="0.2"/>
    <s v="Credit Card"/>
    <s v="Online"/>
    <s v="West-Eve"/>
    <n v="2543.2600000000002"/>
    <n v="2637.91"/>
    <n v="94.649999999999636"/>
  </r>
  <r>
    <d v="2023-07-13T00:00:00"/>
    <s v="Bob"/>
    <s v="West"/>
    <n v="9638.64"/>
    <n v="43"/>
    <x v="0"/>
    <n v="4154.3"/>
    <n v="4469.07"/>
    <s v="Returning"/>
    <n v="0.23"/>
    <s v="Cash"/>
    <s v="Retail"/>
    <s v="West-Bob"/>
    <n v="178634.9"/>
    <n v="192170.00999999998"/>
    <n v="13535.109999999986"/>
  </r>
  <r>
    <d v="2023-12-01T00:00:00"/>
    <s v="David"/>
    <s v="West"/>
    <n v="5238.42"/>
    <n v="40"/>
    <x v="0"/>
    <n v="2565.3000000000002"/>
    <n v="3007.47"/>
    <s v="Returning"/>
    <n v="0.17"/>
    <s v="Credit Card"/>
    <s v="Retail"/>
    <s v="West-David"/>
    <n v="102612"/>
    <n v="120298.79999999999"/>
    <n v="17686.799999999988"/>
  </r>
  <r>
    <d v="2023-07-22T00:00:00"/>
    <s v="Alice"/>
    <s v="East"/>
    <n v="6807.67"/>
    <n v="42"/>
    <x v="2"/>
    <n v="3120.19"/>
    <n v="3600.14"/>
    <s v="Returning"/>
    <n v="0.19"/>
    <s v="Credit Card"/>
    <s v="Retail"/>
    <s v="East-Alice"/>
    <n v="131047.98"/>
    <n v="151205.88"/>
    <n v="20157.900000000009"/>
  </r>
  <r>
    <d v="2023-01-26T00:00:00"/>
    <s v="Alice"/>
    <s v="East"/>
    <n v="3187.45"/>
    <n v="11"/>
    <x v="2"/>
    <n v="2414.8200000000002"/>
    <n v="2519.0700000000002"/>
    <s v="Returning"/>
    <n v="0"/>
    <s v="Cash"/>
    <s v="Online"/>
    <s v="East-Alice"/>
    <n v="26563.02"/>
    <n v="27709.77"/>
    <n v="1146.75"/>
  </r>
  <r>
    <d v="2023-06-22T00:00:00"/>
    <s v="Eve"/>
    <s v="South"/>
    <n v="7762.51"/>
    <n v="39"/>
    <x v="3"/>
    <n v="2416.89"/>
    <n v="2778.3999999999901"/>
    <s v="Returning"/>
    <n v="0.05"/>
    <s v="Cash"/>
    <s v="Online"/>
    <s v="South-Eve"/>
    <n v="94258.709999999992"/>
    <n v="108357.59999999961"/>
    <n v="14098.889999999621"/>
  </r>
  <r>
    <d v="2023-10-27T00:00:00"/>
    <s v="David"/>
    <s v="North"/>
    <n v="7751.92"/>
    <n v="43"/>
    <x v="0"/>
    <n v="3851.45"/>
    <n v="4186.9799999999996"/>
    <s v="Returning"/>
    <n v="0.3"/>
    <s v="Credit Card"/>
    <s v="Online"/>
    <s v="North-David"/>
    <n v="165612.35"/>
    <n v="180040.13999999998"/>
    <n v="14427.789999999979"/>
  </r>
  <r>
    <d v="2023-05-13T00:00:00"/>
    <s v="Charlie"/>
    <s v="West"/>
    <n v="5260.83"/>
    <n v="31"/>
    <x v="3"/>
    <n v="3161.4"/>
    <n v="3339.66"/>
    <s v="Returning"/>
    <n v="0.02"/>
    <s v="Bank Transfer"/>
    <s v="Online"/>
    <s v="West-Charlie"/>
    <n v="98003.400000000009"/>
    <n v="103529.45999999999"/>
    <n v="5526.0599999999831"/>
  </r>
  <r>
    <d v="2023-11-22T00:00:00"/>
    <s v="David"/>
    <s v="West"/>
    <n v="9762.5400000000009"/>
    <n v="17"/>
    <x v="1"/>
    <n v="3184.65"/>
    <n v="3204.01"/>
    <s v="New"/>
    <n v="0.2"/>
    <s v="Bank Transfer"/>
    <s v="Online"/>
    <s v="West-David"/>
    <n v="54139.05"/>
    <n v="54468.170000000006"/>
    <n v="329.12000000000262"/>
  </r>
  <r>
    <d v="2023-04-28T00:00:00"/>
    <s v="Alice"/>
    <s v="North"/>
    <n v="1342.95"/>
    <n v="33"/>
    <x v="2"/>
    <n v="2278.9"/>
    <n v="2626.9"/>
    <s v="New"/>
    <n v="0.05"/>
    <s v="Credit Card"/>
    <s v="Online"/>
    <s v="North-Alice"/>
    <n v="75203.7"/>
    <n v="86687.7"/>
    <n v="11484"/>
  </r>
  <r>
    <d v="2023-11-20T00:00:00"/>
    <s v="Alice"/>
    <s v="West"/>
    <n v="267.77999999999997"/>
    <n v="32"/>
    <x v="3"/>
    <n v="2678.99"/>
    <n v="3152.2799999999902"/>
    <s v="Returning"/>
    <n v="0.22"/>
    <s v="Cash"/>
    <s v="Retail"/>
    <s v="West-Alice"/>
    <n v="85727.679999999993"/>
    <n v="100872.95999999969"/>
    <n v="15145.279999999693"/>
  </r>
  <r>
    <d v="2023-10-02T00:00:00"/>
    <s v="David"/>
    <s v="East"/>
    <n v="7724.57"/>
    <n v="29"/>
    <x v="3"/>
    <n v="3741.3"/>
    <n v="4061.04"/>
    <s v="Returning"/>
    <n v="0.21"/>
    <s v="Credit Card"/>
    <s v="Online"/>
    <s v="East-David"/>
    <n v="108497.70000000001"/>
    <n v="117770.16"/>
    <n v="9272.4599999999919"/>
  </r>
  <r>
    <d v="2023-07-31T00:00:00"/>
    <s v="David"/>
    <s v="East"/>
    <n v="8090.84"/>
    <n v="21"/>
    <x v="2"/>
    <n v="4138.41"/>
    <n v="4361.7"/>
    <s v="Returning"/>
    <n v="7.0000000000000007E-2"/>
    <s v="Credit Card"/>
    <s v="Retail"/>
    <s v="East-David"/>
    <n v="86906.61"/>
    <n v="91595.7"/>
    <n v="4689.0899999999965"/>
  </r>
  <r>
    <d v="2023-08-13T00:00:00"/>
    <s v="Alice"/>
    <s v="West"/>
    <n v="1290.05"/>
    <n v="21"/>
    <x v="0"/>
    <n v="3497.98"/>
    <n v="3765.31"/>
    <s v="New"/>
    <n v="0.08"/>
    <s v="Cash"/>
    <s v="Online"/>
    <s v="West-Alice"/>
    <n v="73457.58"/>
    <n v="79071.509999999995"/>
    <n v="5613.929999999993"/>
  </r>
  <r>
    <d v="2023-01-20T00:00:00"/>
    <s v="Charlie"/>
    <s v="East"/>
    <n v="2729.27"/>
    <n v="40"/>
    <x v="3"/>
    <n v="4624.16"/>
    <n v="4731.9799999999996"/>
    <s v="New"/>
    <n v="0.2"/>
    <s v="Bank Transfer"/>
    <s v="Retail"/>
    <s v="East-Charlie"/>
    <n v="184966.39999999999"/>
    <n v="189279.19999999998"/>
    <n v="4312.7999999999884"/>
  </r>
  <r>
    <d v="2023-04-23T00:00:00"/>
    <s v="Eve"/>
    <s v="East"/>
    <n v="273.77"/>
    <n v="23"/>
    <x v="2"/>
    <n v="4110.6000000000004"/>
    <n v="4488.37"/>
    <s v="New"/>
    <n v="0.12"/>
    <s v="Credit Card"/>
    <s v="Online"/>
    <s v="East-Eve"/>
    <n v="94543.8"/>
    <n v="103232.51"/>
    <n v="8688.7099999999919"/>
  </r>
  <r>
    <d v="2023-05-20T00:00:00"/>
    <s v="Eve"/>
    <s v="West"/>
    <n v="3003.76"/>
    <n v="6"/>
    <x v="0"/>
    <n v="2831.23"/>
    <n v="3206.98"/>
    <s v="Returning"/>
    <n v="0.06"/>
    <s v="Bank Transfer"/>
    <s v="Retail"/>
    <s v="West-Eve"/>
    <n v="16987.38"/>
    <n v="19241.88"/>
    <n v="2254.5"/>
  </r>
  <r>
    <d v="2023-02-16T00:00:00"/>
    <s v="David"/>
    <s v="South"/>
    <n v="7754.1"/>
    <n v="22"/>
    <x v="1"/>
    <n v="3373.46"/>
    <n v="3454.76"/>
    <s v="Returning"/>
    <n v="0.22"/>
    <s v="Bank Transfer"/>
    <s v="Retail"/>
    <s v="South-David"/>
    <n v="74216.12"/>
    <n v="76004.72"/>
    <n v="1788.6000000000058"/>
  </r>
  <r>
    <d v="2023-01-01T00:00:00"/>
    <s v="Eve"/>
    <s v="North"/>
    <n v="5227.8100000000004"/>
    <n v="38"/>
    <x v="2"/>
    <n v="4635.2299999999996"/>
    <n v="5075.4399999999996"/>
    <s v="Returning"/>
    <n v="0.05"/>
    <s v="Cash"/>
    <s v="Online"/>
    <s v="North-Eve"/>
    <n v="176138.74"/>
    <n v="192866.71999999997"/>
    <n v="16727.979999999981"/>
  </r>
  <r>
    <d v="2023-03-31T00:00:00"/>
    <s v="Alice"/>
    <s v="East"/>
    <n v="3546.15"/>
    <n v="37"/>
    <x v="3"/>
    <n v="3114.88"/>
    <n v="3256.78"/>
    <s v="Returning"/>
    <n v="0.26"/>
    <s v="Credit Card"/>
    <s v="Online"/>
    <s v="East-Alice"/>
    <n v="115250.56"/>
    <n v="120500.86"/>
    <n v="5250.3000000000029"/>
  </r>
  <r>
    <d v="2023-05-22T00:00:00"/>
    <s v="Alice"/>
    <s v="South"/>
    <n v="3780.22"/>
    <n v="45"/>
    <x v="1"/>
    <n v="4132.79"/>
    <n v="4624.1000000000004"/>
    <s v="New"/>
    <n v="0.15"/>
    <s v="Credit Card"/>
    <s v="Retail"/>
    <s v="South-Alice"/>
    <n v="185975.55"/>
    <n v="208084.50000000003"/>
    <n v="22108.950000000041"/>
  </r>
  <r>
    <d v="2023-11-16T00:00:00"/>
    <s v="David"/>
    <s v="East"/>
    <n v="113.4"/>
    <n v="8"/>
    <x v="0"/>
    <n v="3459.61"/>
    <n v="3657.23"/>
    <s v="Returning"/>
    <n v="0.03"/>
    <s v="Bank Transfer"/>
    <s v="Online"/>
    <s v="East-David"/>
    <n v="27676.880000000001"/>
    <n v="29257.84"/>
    <n v="1580.9599999999991"/>
  </r>
  <r>
    <d v="2023-02-07T00:00:00"/>
    <s v="David"/>
    <s v="East"/>
    <n v="3068.03"/>
    <n v="41"/>
    <x v="0"/>
    <n v="2782.08"/>
    <n v="2879.24"/>
    <s v="New"/>
    <n v="0.21"/>
    <s v="Bank Transfer"/>
    <s v="Online"/>
    <s v="East-David"/>
    <n v="114065.28"/>
    <n v="118048.84"/>
    <n v="3983.5599999999977"/>
  </r>
  <r>
    <d v="2023-10-20T00:00:00"/>
    <s v="David"/>
    <s v="North"/>
    <n v="6499.94"/>
    <n v="49"/>
    <x v="2"/>
    <n v="1247.0999999999999"/>
    <n v="1429.4399999999901"/>
    <s v="New"/>
    <n v="0.16"/>
    <s v="Cash"/>
    <s v="Online"/>
    <s v="North-David"/>
    <n v="61107.899999999994"/>
    <n v="70042.559999999517"/>
    <n v="8934.6599999995233"/>
  </r>
  <r>
    <d v="2023-05-19T00:00:00"/>
    <s v="Charlie"/>
    <s v="East"/>
    <n v="9744.52"/>
    <n v="35"/>
    <x v="2"/>
    <n v="2158.69"/>
    <n v="2384.38"/>
    <s v="Returning"/>
    <n v="0.09"/>
    <s v="Bank Transfer"/>
    <s v="Retail"/>
    <s v="East-Charlie"/>
    <n v="75554.150000000009"/>
    <n v="83453.3"/>
    <n v="7899.1499999999942"/>
  </r>
  <r>
    <d v="2023-12-22T00:00:00"/>
    <s v="Eve"/>
    <s v="North"/>
    <n v="8485.9"/>
    <n v="11"/>
    <x v="2"/>
    <n v="4840.33"/>
    <n v="4884.29"/>
    <s v="New"/>
    <n v="0.13"/>
    <s v="Cash"/>
    <s v="Online"/>
    <s v="North-Eve"/>
    <n v="53243.63"/>
    <n v="53727.19"/>
    <n v="483.56000000000495"/>
  </r>
  <r>
    <d v="2023-11-29T00:00:00"/>
    <s v="David"/>
    <s v="North"/>
    <n v="333.59"/>
    <n v="24"/>
    <x v="0"/>
    <n v="3305.94"/>
    <n v="3599.27"/>
    <s v="New"/>
    <n v="0.09"/>
    <s v="Credit Card"/>
    <s v="Retail"/>
    <s v="North-David"/>
    <n v="79342.559999999998"/>
    <n v="86382.48"/>
    <n v="7039.9199999999983"/>
  </r>
  <r>
    <d v="2023-09-16T00:00:00"/>
    <s v="Bob"/>
    <s v="North"/>
    <n v="8995.75"/>
    <n v="49"/>
    <x v="1"/>
    <n v="2843.76"/>
    <n v="3146.6"/>
    <s v="New"/>
    <n v="0.08"/>
    <s v="Cash"/>
    <s v="Retail"/>
    <s v="North-Bob"/>
    <n v="139344.24000000002"/>
    <n v="154183.4"/>
    <n v="14839.159999999974"/>
  </r>
  <r>
    <d v="2023-06-10T00:00:00"/>
    <s v="Bob"/>
    <s v="South"/>
    <n v="7853.66"/>
    <n v="21"/>
    <x v="0"/>
    <n v="4668.1400000000003"/>
    <n v="5040.22"/>
    <s v="New"/>
    <n v="0.05"/>
    <s v="Bank Transfer"/>
    <s v="Online"/>
    <s v="South-Bob"/>
    <n v="98030.94"/>
    <n v="105844.62000000001"/>
    <n v="7813.6800000000076"/>
  </r>
  <r>
    <d v="2023-06-27T00:00:00"/>
    <s v="Alice"/>
    <s v="West"/>
    <n v="7825.72"/>
    <n v="2"/>
    <x v="3"/>
    <n v="2953.23"/>
    <n v="2977.52"/>
    <s v="Returning"/>
    <n v="0.11"/>
    <s v="Credit Card"/>
    <s v="Retail"/>
    <s v="West-Alice"/>
    <n v="5906.46"/>
    <n v="5955.04"/>
    <n v="48.579999999999927"/>
  </r>
  <r>
    <d v="2023-01-10T00:00:00"/>
    <s v="Eve"/>
    <s v="South"/>
    <n v="4634.16"/>
    <n v="40"/>
    <x v="0"/>
    <n v="2654.11"/>
    <n v="2929.32"/>
    <s v="Returning"/>
    <n v="0.08"/>
    <s v="Cash"/>
    <s v="Online"/>
    <s v="South-Eve"/>
    <n v="106164.40000000001"/>
    <n v="117172.8"/>
    <n v="11008.399999999994"/>
  </r>
  <r>
    <d v="2023-09-18T00:00:00"/>
    <s v="David"/>
    <s v="West"/>
    <n v="4040.25"/>
    <n v="19"/>
    <x v="3"/>
    <n v="3808.59"/>
    <n v="3844.51"/>
    <s v="New"/>
    <n v="0.21"/>
    <s v="Credit Card"/>
    <s v="Online"/>
    <s v="West-David"/>
    <n v="72363.210000000006"/>
    <n v="73045.69"/>
    <n v="682.47999999999593"/>
  </r>
  <r>
    <d v="2023-05-18T00:00:00"/>
    <s v="Bob"/>
    <s v="West"/>
    <n v="3098.87"/>
    <n v="39"/>
    <x v="1"/>
    <n v="3577.69"/>
    <n v="3931.25"/>
    <s v="Returning"/>
    <n v="0.21"/>
    <s v="Cash"/>
    <s v="Retail"/>
    <s v="West-Bob"/>
    <n v="139529.91"/>
    <n v="153318.75"/>
    <n v="13788.839999999997"/>
  </r>
  <r>
    <d v="2023-06-21T00:00:00"/>
    <s v="Eve"/>
    <s v="North"/>
    <n v="750.38"/>
    <n v="28"/>
    <x v="2"/>
    <n v="1006.14"/>
    <n v="1043.45"/>
    <s v="New"/>
    <n v="0.15"/>
    <s v="Bank Transfer"/>
    <s v="Retail"/>
    <s v="North-Eve"/>
    <n v="28171.919999999998"/>
    <n v="29216.600000000002"/>
    <n v="1044.6800000000039"/>
  </r>
  <r>
    <d v="2023-01-13T00:00:00"/>
    <s v="Alice"/>
    <s v="East"/>
    <n v="2359.5300000000002"/>
    <n v="17"/>
    <x v="2"/>
    <n v="2382.98"/>
    <n v="2839.73"/>
    <s v="Returning"/>
    <n v="0.23"/>
    <s v="Bank Transfer"/>
    <s v="Retail"/>
    <s v="East-Alice"/>
    <n v="40510.660000000003"/>
    <n v="48275.41"/>
    <n v="7764.75"/>
  </r>
  <r>
    <d v="2023-06-17T00:00:00"/>
    <s v="Charlie"/>
    <s v="North"/>
    <n v="2541.38"/>
    <n v="6"/>
    <x v="0"/>
    <n v="2388.9499999999998"/>
    <n v="2742.97"/>
    <s v="Returning"/>
    <n v="0.25"/>
    <s v="Credit Card"/>
    <s v="Retail"/>
    <s v="North-Charlie"/>
    <n v="14333.699999999999"/>
    <n v="16457.82"/>
    <n v="2124.1200000000008"/>
  </r>
  <r>
    <d v="2023-05-10T00:00:00"/>
    <s v="Eve"/>
    <s v="East"/>
    <n v="4892.3599999999997"/>
    <n v="19"/>
    <x v="2"/>
    <n v="1922.21"/>
    <n v="2180.83"/>
    <s v="Returning"/>
    <n v="0.17"/>
    <s v="Credit Card"/>
    <s v="Retail"/>
    <s v="East-Eve"/>
    <n v="36521.99"/>
    <n v="41435.769999999997"/>
    <n v="4913.7799999999988"/>
  </r>
  <r>
    <d v="2023-03-25T00:00:00"/>
    <s v="Eve"/>
    <s v="West"/>
    <n v="7499.7"/>
    <n v="38"/>
    <x v="1"/>
    <n v="2610.6"/>
    <n v="2836.94"/>
    <s v="Returning"/>
    <n v="0.19"/>
    <s v="Credit Card"/>
    <s v="Online"/>
    <s v="West-Eve"/>
    <n v="99202.8"/>
    <n v="107803.72"/>
    <n v="8600.9199999999983"/>
  </r>
  <r>
    <d v="2023-11-17T00:00:00"/>
    <s v="Charlie"/>
    <s v="North"/>
    <n v="4790.72"/>
    <n v="28"/>
    <x v="2"/>
    <n v="2094.88"/>
    <n v="2168.91"/>
    <s v="Returning"/>
    <n v="0.08"/>
    <s v="Cash"/>
    <s v="Retail"/>
    <s v="North-Charlie"/>
    <n v="58656.639999999999"/>
    <n v="60729.479999999996"/>
    <n v="2072.8399999999965"/>
  </r>
  <r>
    <d v="2023-11-15T00:00:00"/>
    <s v="Eve"/>
    <s v="East"/>
    <n v="672.66"/>
    <n v="2"/>
    <x v="0"/>
    <n v="1036.76"/>
    <n v="1189.3499999999999"/>
    <s v="New"/>
    <n v="0.27"/>
    <s v="Bank Transfer"/>
    <s v="Online"/>
    <s v="East-Eve"/>
    <n v="2073.52"/>
    <n v="2378.6999999999998"/>
    <n v="305.17999999999984"/>
  </r>
  <r>
    <d v="2023-04-11T00:00:00"/>
    <s v="Alice"/>
    <s v="South"/>
    <n v="9582.1200000000008"/>
    <n v="38"/>
    <x v="1"/>
    <n v="2091.21"/>
    <n v="2527"/>
    <s v="Returning"/>
    <n v="0.01"/>
    <s v="Credit Card"/>
    <s v="Online"/>
    <s v="South-Alice"/>
    <n v="79465.98"/>
    <n v="96026"/>
    <n v="16560.020000000004"/>
  </r>
  <r>
    <d v="2023-11-25T00:00:00"/>
    <s v="Alice"/>
    <s v="East"/>
    <n v="9432.9699999999993"/>
    <n v="37"/>
    <x v="3"/>
    <n v="407.77"/>
    <n v="860.95"/>
    <s v="New"/>
    <n v="0.1"/>
    <s v="Credit Card"/>
    <s v="Retail"/>
    <s v="East-Alice"/>
    <n v="15087.49"/>
    <n v="31855.15"/>
    <n v="16767.660000000003"/>
  </r>
  <r>
    <d v="2023-09-30T00:00:00"/>
    <s v="Charlie"/>
    <s v="North"/>
    <n v="7873.38"/>
    <n v="4"/>
    <x v="0"/>
    <n v="2900.14"/>
    <n v="2910.5099999999902"/>
    <s v="New"/>
    <n v="0.22"/>
    <s v="Credit Card"/>
    <s v="Retail"/>
    <s v="North-Charlie"/>
    <n v="11600.56"/>
    <n v="11642.039999999961"/>
    <n v="41.479999999961365"/>
  </r>
  <r>
    <d v="2023-09-22T00:00:00"/>
    <s v="David"/>
    <s v="South"/>
    <n v="9914.15"/>
    <n v="22"/>
    <x v="3"/>
    <n v="4275.59"/>
    <n v="4576.72"/>
    <s v="Returning"/>
    <n v="0.02"/>
    <s v="Cash"/>
    <s v="Retail"/>
    <s v="South-David"/>
    <n v="94062.98000000001"/>
    <n v="100687.84000000001"/>
    <n v="6624.8600000000006"/>
  </r>
  <r>
    <d v="2023-02-07T00:00:00"/>
    <s v="Bob"/>
    <s v="East"/>
    <n v="5490.38"/>
    <n v="26"/>
    <x v="1"/>
    <n v="3640.17"/>
    <n v="4002.63"/>
    <s v="New"/>
    <n v="0.05"/>
    <s v="Credit Card"/>
    <s v="Retail"/>
    <s v="East-Bob"/>
    <n v="94644.42"/>
    <n v="104068.38"/>
    <n v="9423.9600000000064"/>
  </r>
  <r>
    <d v="2023-04-04T00:00:00"/>
    <s v="David"/>
    <s v="East"/>
    <n v="9631.41"/>
    <n v="49"/>
    <x v="0"/>
    <n v="1833.95"/>
    <n v="2147.14"/>
    <s v="Returning"/>
    <n v="0.18"/>
    <s v="Credit Card"/>
    <s v="Retail"/>
    <s v="East-David"/>
    <n v="89863.55"/>
    <n v="105209.86"/>
    <n v="15346.309999999998"/>
  </r>
  <r>
    <d v="2023-04-05T00:00:00"/>
    <s v="Eve"/>
    <s v="East"/>
    <n v="848.49"/>
    <n v="43"/>
    <x v="0"/>
    <n v="481"/>
    <n v="531.02"/>
    <s v="New"/>
    <n v="0.17"/>
    <s v="Cash"/>
    <s v="Online"/>
    <s v="East-Eve"/>
    <n v="20683"/>
    <n v="22833.86"/>
    <n v="2150.8600000000006"/>
  </r>
  <r>
    <d v="2023-11-01T00:00:00"/>
    <s v="Bob"/>
    <s v="East"/>
    <n v="3720.24"/>
    <n v="36"/>
    <x v="1"/>
    <n v="1050.6400000000001"/>
    <n v="1167.33"/>
    <s v="New"/>
    <n v="0.22"/>
    <s v="Cash"/>
    <s v="Online"/>
    <s v="East-Bob"/>
    <n v="37823.040000000001"/>
    <n v="42023.88"/>
    <n v="4200.8399999999965"/>
  </r>
  <r>
    <d v="2023-03-10T00:00:00"/>
    <s v="Charlie"/>
    <s v="East"/>
    <n v="2331.27"/>
    <n v="13"/>
    <x v="2"/>
    <n v="2750.18"/>
    <n v="2882.85"/>
    <s v="Returning"/>
    <n v="0.24"/>
    <s v="Credit Card"/>
    <s v="Online"/>
    <s v="East-Charlie"/>
    <n v="35752.339999999997"/>
    <n v="37477.049999999996"/>
    <n v="1724.7099999999991"/>
  </r>
  <r>
    <d v="2023-11-14T00:00:00"/>
    <s v="Charlie"/>
    <s v="South"/>
    <n v="2038.75"/>
    <n v="32"/>
    <x v="0"/>
    <n v="1074.93"/>
    <n v="1492.48"/>
    <s v="Returning"/>
    <n v="0.04"/>
    <s v="Credit Card"/>
    <s v="Retail"/>
    <s v="South-Charlie"/>
    <n v="34397.760000000002"/>
    <n v="47759.360000000001"/>
    <n v="13361.599999999999"/>
  </r>
  <r>
    <d v="2023-08-24T00:00:00"/>
    <s v="Bob"/>
    <s v="West"/>
    <n v="1493.95"/>
    <n v="17"/>
    <x v="0"/>
    <n v="2742.67"/>
    <n v="2979.64"/>
    <s v="Returning"/>
    <n v="0.01"/>
    <s v="Cash"/>
    <s v="Retail"/>
    <s v="West-Bob"/>
    <n v="46625.39"/>
    <n v="50653.88"/>
    <n v="4028.489999999998"/>
  </r>
  <r>
    <d v="2023-11-30T00:00:00"/>
    <s v="Alice"/>
    <s v="South"/>
    <n v="6261.9"/>
    <n v="41"/>
    <x v="3"/>
    <n v="1196.42"/>
    <n v="1444.97"/>
    <s v="Returning"/>
    <n v="0.21"/>
    <s v="Bank Transfer"/>
    <s v="Online"/>
    <s v="South-Alice"/>
    <n v="49053.22"/>
    <n v="59243.770000000004"/>
    <n v="10190.550000000003"/>
  </r>
  <r>
    <d v="2023-05-17T00:00:00"/>
    <s v="Bob"/>
    <s v="South"/>
    <n v="7835.09"/>
    <n v="36"/>
    <x v="2"/>
    <n v="4252.17"/>
    <n v="4720.2700000000004"/>
    <s v="New"/>
    <n v="0.09"/>
    <s v="Cash"/>
    <s v="Retail"/>
    <s v="South-Bob"/>
    <n v="153078.12"/>
    <n v="169929.72000000003"/>
    <n v="16851.600000000035"/>
  </r>
  <r>
    <d v="2023-03-17T00:00:00"/>
    <s v="Eve"/>
    <s v="South"/>
    <n v="5825.15"/>
    <n v="46"/>
    <x v="3"/>
    <n v="2016.49"/>
    <n v="2338.66"/>
    <s v="Returning"/>
    <n v="0.19"/>
    <s v="Bank Transfer"/>
    <s v="Retail"/>
    <s v="South-Eve"/>
    <n v="92758.54"/>
    <n v="107578.35999999999"/>
    <n v="14819.819999999992"/>
  </r>
  <r>
    <d v="2023-02-04T00:00:00"/>
    <s v="Alice"/>
    <s v="West"/>
    <n v="1554.93"/>
    <n v="19"/>
    <x v="3"/>
    <n v="1265.48"/>
    <n v="1715.83"/>
    <s v="New"/>
    <n v="0.05"/>
    <s v="Credit Card"/>
    <s v="Retail"/>
    <s v="West-Alice"/>
    <n v="24044.12"/>
    <n v="32600.769999999997"/>
    <n v="8556.6499999999978"/>
  </r>
  <r>
    <d v="2023-01-01T00:00:00"/>
    <s v="Charlie"/>
    <s v="North"/>
    <n v="8130.13"/>
    <n v="35"/>
    <x v="2"/>
    <n v="4071.01"/>
    <n v="4304.7"/>
    <s v="New"/>
    <n v="0.14000000000000001"/>
    <s v="Credit Card"/>
    <s v="Online"/>
    <s v="North-Charlie"/>
    <n v="142485.35"/>
    <n v="150664.5"/>
    <n v="8179.1499999999942"/>
  </r>
  <r>
    <d v="2023-10-23T00:00:00"/>
    <s v="Bob"/>
    <s v="West"/>
    <n v="6395.95"/>
    <n v="46"/>
    <x v="2"/>
    <n v="1747.05"/>
    <n v="1830.27"/>
    <s v="New"/>
    <n v="0.15"/>
    <s v="Bank Transfer"/>
    <s v="Retail"/>
    <s v="West-Bob"/>
    <n v="80364.3"/>
    <n v="84192.42"/>
    <n v="3828.1199999999953"/>
  </r>
  <r>
    <d v="2023-11-16T00:00:00"/>
    <s v="David"/>
    <s v="South"/>
    <n v="3942.84"/>
    <n v="40"/>
    <x v="1"/>
    <n v="601.86"/>
    <n v="1067.53"/>
    <s v="New"/>
    <n v="0.18"/>
    <s v="Cash"/>
    <s v="Online"/>
    <s v="South-David"/>
    <n v="24074.400000000001"/>
    <n v="42701.2"/>
    <n v="18626.799999999996"/>
  </r>
  <r>
    <d v="2023-03-01T00:00:00"/>
    <s v="David"/>
    <s v="East"/>
    <n v="6773.89"/>
    <n v="28"/>
    <x v="2"/>
    <n v="2873.53"/>
    <n v="3108.3"/>
    <s v="New"/>
    <n v="0.15"/>
    <s v="Credit Card"/>
    <s v="Retail"/>
    <s v="East-David"/>
    <n v="80458.840000000011"/>
    <n v="87032.400000000009"/>
    <n v="6573.5599999999977"/>
  </r>
  <r>
    <d v="2023-11-16T00:00:00"/>
    <s v="Eve"/>
    <s v="East"/>
    <n v="2673.06"/>
    <n v="1"/>
    <x v="0"/>
    <n v="2928.74"/>
    <n v="3027.74"/>
    <s v="New"/>
    <n v="0.15"/>
    <s v="Bank Transfer"/>
    <s v="Retail"/>
    <s v="East-Eve"/>
    <n v="2928.74"/>
    <n v="3027.74"/>
    <n v="99"/>
  </r>
  <r>
    <d v="2023-12-15T00:00:00"/>
    <s v="David"/>
    <s v="South"/>
    <n v="3517.4"/>
    <n v="42"/>
    <x v="2"/>
    <n v="3587.74"/>
    <n v="3745.91"/>
    <s v="Returning"/>
    <n v="0.1"/>
    <s v="Cash"/>
    <s v="Online"/>
    <s v="South-David"/>
    <n v="150685.07999999999"/>
    <n v="157328.22"/>
    <n v="6643.140000000014"/>
  </r>
  <r>
    <d v="2023-11-24T00:00:00"/>
    <s v="Bob"/>
    <s v="East"/>
    <n v="9183.11"/>
    <n v="18"/>
    <x v="1"/>
    <n v="1239.0899999999999"/>
    <n v="1273.98"/>
    <s v="New"/>
    <n v="0.02"/>
    <s v="Bank Transfer"/>
    <s v="Retail"/>
    <s v="East-Bob"/>
    <n v="22303.62"/>
    <n v="22931.64"/>
    <n v="628.02000000000044"/>
  </r>
  <r>
    <d v="2023-09-24T00:00:00"/>
    <s v="Bob"/>
    <s v="South"/>
    <n v="2975.99"/>
    <n v="48"/>
    <x v="1"/>
    <n v="2246.67"/>
    <n v="2486.14"/>
    <s v="New"/>
    <n v="0.03"/>
    <s v="Cash"/>
    <s v="Retail"/>
    <s v="South-Bob"/>
    <n v="107840.16"/>
    <n v="119334.72"/>
    <n v="11494.559999999998"/>
  </r>
  <r>
    <d v="2023-12-27T00:00:00"/>
    <s v="David"/>
    <s v="East"/>
    <n v="4752.88"/>
    <n v="40"/>
    <x v="1"/>
    <n v="1447.72"/>
    <n v="1875.75"/>
    <s v="New"/>
    <n v="0.13"/>
    <s v="Cash"/>
    <s v="Retail"/>
    <s v="East-David"/>
    <n v="57908.800000000003"/>
    <n v="75030"/>
    <n v="17121.199999999997"/>
  </r>
  <r>
    <d v="2023-08-17T00:00:00"/>
    <s v="Bob"/>
    <s v="West"/>
    <n v="8912.4"/>
    <n v="33"/>
    <x v="2"/>
    <n v="450.72"/>
    <n v="918.17"/>
    <s v="Returning"/>
    <n v="0.11"/>
    <s v="Cash"/>
    <s v="Online"/>
    <s v="West-Bob"/>
    <n v="14873.76"/>
    <n v="30299.609999999997"/>
    <n v="15425.849999999997"/>
  </r>
  <r>
    <d v="2023-09-27T00:00:00"/>
    <s v="Eve"/>
    <s v="North"/>
    <n v="7106.44"/>
    <n v="12"/>
    <x v="2"/>
    <n v="4389.24"/>
    <n v="4856.2199999999903"/>
    <s v="Returning"/>
    <n v="0.15"/>
    <s v="Cash"/>
    <s v="Retail"/>
    <s v="North-Eve"/>
    <n v="52670.879999999997"/>
    <n v="58274.639999999883"/>
    <n v="5603.7599999998856"/>
  </r>
  <r>
    <d v="2023-11-12T00:00:00"/>
    <s v="Alice"/>
    <s v="North"/>
    <n v="715.81"/>
    <n v="8"/>
    <x v="3"/>
    <n v="3657.91"/>
    <n v="3729.27"/>
    <s v="New"/>
    <n v="0.09"/>
    <s v="Bank Transfer"/>
    <s v="Retail"/>
    <s v="North-Alice"/>
    <n v="29263.279999999999"/>
    <n v="29834.16"/>
    <n v="570.88000000000102"/>
  </r>
  <r>
    <d v="2023-10-13T00:00:00"/>
    <s v="Eve"/>
    <s v="West"/>
    <n v="1558.3"/>
    <n v="24"/>
    <x v="3"/>
    <n v="1542.24"/>
    <n v="1739.45"/>
    <s v="Returning"/>
    <n v="0.21"/>
    <s v="Bank Transfer"/>
    <s v="Retail"/>
    <s v="West-Eve"/>
    <n v="37013.760000000002"/>
    <n v="41746.800000000003"/>
    <n v="4733.0400000000009"/>
  </r>
  <r>
    <d v="2023-10-18T00:00:00"/>
    <s v="Eve"/>
    <s v="West"/>
    <n v="177.63"/>
    <n v="16"/>
    <x v="0"/>
    <n v="3016.9"/>
    <n v="3040.73"/>
    <s v="New"/>
    <n v="0.26"/>
    <s v="Bank Transfer"/>
    <s v="Retail"/>
    <s v="West-Eve"/>
    <n v="48270.400000000001"/>
    <n v="48651.68"/>
    <n v="381.27999999999884"/>
  </r>
  <r>
    <d v="2023-08-01T00:00:00"/>
    <s v="Bob"/>
    <s v="South"/>
    <n v="6346.13"/>
    <n v="4"/>
    <x v="3"/>
    <n v="1046.26"/>
    <n v="1475.29"/>
    <s v="Returning"/>
    <n v="0.09"/>
    <s v="Bank Transfer"/>
    <s v="Retail"/>
    <s v="South-Bob"/>
    <n v="4185.04"/>
    <n v="5901.16"/>
    <n v="1716.12"/>
  </r>
  <r>
    <d v="2023-06-14T00:00:00"/>
    <s v="Alice"/>
    <s v="South"/>
    <n v="4531.97"/>
    <n v="38"/>
    <x v="0"/>
    <n v="4456.67"/>
    <n v="4642.46"/>
    <s v="New"/>
    <n v="0.06"/>
    <s v="Bank Transfer"/>
    <s v="Online"/>
    <s v="South-Alice"/>
    <n v="169353.46"/>
    <n v="176413.48"/>
    <n v="7060.0200000000186"/>
  </r>
  <r>
    <d v="2023-01-05T00:00:00"/>
    <s v="Bob"/>
    <s v="South"/>
    <n v="1429.32"/>
    <n v="44"/>
    <x v="1"/>
    <n v="618.79"/>
    <n v="938.04"/>
    <s v="Returning"/>
    <n v="0.03"/>
    <s v="Cash"/>
    <s v="Online"/>
    <s v="South-Bob"/>
    <n v="27226.76"/>
    <n v="41273.759999999995"/>
    <n v="14046.999999999996"/>
  </r>
  <r>
    <d v="2023-12-05T00:00:00"/>
    <s v="Charlie"/>
    <s v="East"/>
    <n v="9583.5499999999993"/>
    <n v="27"/>
    <x v="3"/>
    <n v="68.989999999999995"/>
    <n v="429.29"/>
    <s v="Returning"/>
    <n v="0.18"/>
    <s v="Credit Card"/>
    <s v="Retail"/>
    <s v="East-Charlie"/>
    <n v="1862.7299999999998"/>
    <n v="11590.83"/>
    <n v="9728.1"/>
  </r>
  <r>
    <d v="2023-03-19T00:00:00"/>
    <s v="Bob"/>
    <s v="South"/>
    <n v="5343.63"/>
    <n v="9"/>
    <x v="2"/>
    <n v="2534.94"/>
    <n v="2755.56"/>
    <s v="Returning"/>
    <n v="0.13"/>
    <s v="Credit Card"/>
    <s v="Retail"/>
    <s v="South-Bob"/>
    <n v="22814.46"/>
    <n v="24800.04"/>
    <n v="1985.5800000000017"/>
  </r>
  <r>
    <d v="2023-03-03T00:00:00"/>
    <s v="Bob"/>
    <s v="West"/>
    <n v="2494.7399999999998"/>
    <n v="47"/>
    <x v="3"/>
    <n v="2936.48"/>
    <n v="3096.64"/>
    <s v="New"/>
    <n v="0.06"/>
    <s v="Bank Transfer"/>
    <s v="Online"/>
    <s v="West-Bob"/>
    <n v="138014.56"/>
    <n v="145542.07999999999"/>
    <n v="7527.5199999999895"/>
  </r>
  <r>
    <d v="2023-05-12T00:00:00"/>
    <s v="Bob"/>
    <s v="North"/>
    <n v="5055.9799999999996"/>
    <n v="16"/>
    <x v="0"/>
    <n v="2915.88"/>
    <n v="3397.36"/>
    <s v="New"/>
    <n v="0.2"/>
    <s v="Bank Transfer"/>
    <s v="Retail"/>
    <s v="North-Bob"/>
    <n v="46654.080000000002"/>
    <n v="54357.760000000002"/>
    <n v="7703.68"/>
  </r>
  <r>
    <d v="2023-03-30T00:00:00"/>
    <s v="Alice"/>
    <s v="East"/>
    <n v="6828.24"/>
    <n v="12"/>
    <x v="3"/>
    <n v="319.83"/>
    <n v="802.43"/>
    <s v="New"/>
    <n v="0.04"/>
    <s v="Credit Card"/>
    <s v="Retail"/>
    <s v="East-Alice"/>
    <n v="3837.96"/>
    <n v="9629.16"/>
    <n v="5791.2"/>
  </r>
  <r>
    <d v="2023-08-25T00:00:00"/>
    <s v="Bob"/>
    <s v="South"/>
    <n v="854.77"/>
    <n v="31"/>
    <x v="1"/>
    <n v="1604.52"/>
    <n v="1756.34"/>
    <s v="Returning"/>
    <n v="0.17"/>
    <s v="Cash"/>
    <s v="Retail"/>
    <s v="South-Bob"/>
    <n v="49740.12"/>
    <n v="54446.54"/>
    <n v="4706.4199999999983"/>
  </r>
  <r>
    <d v="2023-02-11T00:00:00"/>
    <s v="Alice"/>
    <s v="East"/>
    <n v="2819.57"/>
    <n v="24"/>
    <x v="2"/>
    <n v="2521.0300000000002"/>
    <n v="2766.05"/>
    <s v="Returning"/>
    <n v="0.16"/>
    <s v="Bank Transfer"/>
    <s v="Retail"/>
    <s v="East-Alice"/>
    <n v="60504.72"/>
    <n v="66385.200000000012"/>
    <n v="5880.4800000000105"/>
  </r>
  <r>
    <d v="2023-03-30T00:00:00"/>
    <s v="David"/>
    <s v="East"/>
    <n v="8088.96"/>
    <n v="14"/>
    <x v="0"/>
    <n v="1122.07"/>
    <n v="1608.76"/>
    <s v="New"/>
    <n v="0.22"/>
    <s v="Cash"/>
    <s v="Retail"/>
    <s v="East-David"/>
    <n v="15708.98"/>
    <n v="22522.639999999999"/>
    <n v="6813.66"/>
  </r>
  <r>
    <d v="2023-10-23T00:00:00"/>
    <s v="Charlie"/>
    <s v="South"/>
    <n v="4650.68"/>
    <n v="45"/>
    <x v="2"/>
    <n v="4369.5"/>
    <n v="4381.8900000000003"/>
    <s v="Returning"/>
    <n v="0.02"/>
    <s v="Credit Card"/>
    <s v="Retail"/>
    <s v="South-Charlie"/>
    <n v="196627.5"/>
    <n v="197185.05000000002"/>
    <n v="557.55000000001746"/>
  </r>
  <r>
    <d v="2023-11-24T00:00:00"/>
    <s v="Alice"/>
    <s v="East"/>
    <n v="5511.11"/>
    <n v="25"/>
    <x v="2"/>
    <n v="481.19"/>
    <n v="693.4"/>
    <s v="New"/>
    <n v="0.27"/>
    <s v="Credit Card"/>
    <s v="Retail"/>
    <s v="East-Alice"/>
    <n v="12029.75"/>
    <n v="17335"/>
    <n v="5305.25"/>
  </r>
  <r>
    <d v="2023-10-22T00:00:00"/>
    <s v="David"/>
    <s v="North"/>
    <n v="4384.88"/>
    <n v="34"/>
    <x v="0"/>
    <n v="2462.5500000000002"/>
    <n v="2521.77"/>
    <s v="New"/>
    <n v="0.21"/>
    <s v="Bank Transfer"/>
    <s v="Retail"/>
    <s v="North-David"/>
    <n v="83726.700000000012"/>
    <n v="85740.18"/>
    <n v="2013.4799999999814"/>
  </r>
  <r>
    <d v="2023-04-14T00:00:00"/>
    <s v="Alice"/>
    <s v="West"/>
    <n v="534.61"/>
    <n v="3"/>
    <x v="2"/>
    <n v="3472.51"/>
    <n v="3732"/>
    <s v="New"/>
    <n v="0.06"/>
    <s v="Cash"/>
    <s v="Online"/>
    <s v="West-Alice"/>
    <n v="10417.530000000001"/>
    <n v="11196"/>
    <n v="778.46999999999935"/>
  </r>
  <r>
    <d v="2023-01-14T00:00:00"/>
    <s v="Alice"/>
    <s v="West"/>
    <n v="1740.92"/>
    <n v="24"/>
    <x v="2"/>
    <n v="1345.67"/>
    <n v="1367.76"/>
    <s v="New"/>
    <n v="0.06"/>
    <s v="Bank Transfer"/>
    <s v="Online"/>
    <s v="West-Alice"/>
    <n v="32296.080000000002"/>
    <n v="32826.239999999998"/>
    <n v="530.15999999999622"/>
  </r>
  <r>
    <d v="2023-10-15T00:00:00"/>
    <s v="Charlie"/>
    <s v="North"/>
    <n v="4510.8599999999997"/>
    <n v="42"/>
    <x v="3"/>
    <n v="3139.99"/>
    <n v="3349.37"/>
    <s v="Returning"/>
    <n v="0.13"/>
    <s v="Credit Card"/>
    <s v="Retail"/>
    <s v="North-Charlie"/>
    <n v="131879.57999999999"/>
    <n v="140673.54"/>
    <n v="8793.960000000021"/>
  </r>
  <r>
    <d v="2023-06-28T00:00:00"/>
    <s v="Eve"/>
    <s v="East"/>
    <n v="2170.94"/>
    <n v="9"/>
    <x v="2"/>
    <n v="4155.46"/>
    <n v="4273.6000000000004"/>
    <s v="Returning"/>
    <n v="0.25"/>
    <s v="Cash"/>
    <s v="Retail"/>
    <s v="East-Eve"/>
    <n v="37399.14"/>
    <n v="38462.400000000001"/>
    <n v="1063.260000000002"/>
  </r>
  <r>
    <d v="2023-05-05T00:00:00"/>
    <s v="Eve"/>
    <s v="South"/>
    <n v="594.79"/>
    <n v="26"/>
    <x v="2"/>
    <n v="992.17"/>
    <n v="1263.49"/>
    <s v="Returning"/>
    <n v="0.25"/>
    <s v="Bank Transfer"/>
    <s v="Retail"/>
    <s v="South-Eve"/>
    <n v="25796.42"/>
    <n v="32850.74"/>
    <n v="7054.32"/>
  </r>
  <r>
    <d v="2023-12-19T00:00:00"/>
    <s v="Alice"/>
    <s v="East"/>
    <n v="8452.1299999999992"/>
    <n v="20"/>
    <x v="2"/>
    <n v="4590.24"/>
    <n v="5088.28"/>
    <s v="New"/>
    <n v="0.16"/>
    <s v="Bank Transfer"/>
    <s v="Retail"/>
    <s v="East-Alice"/>
    <n v="91804.799999999988"/>
    <n v="101765.59999999999"/>
    <n v="9960.8000000000029"/>
  </r>
  <r>
    <d v="2023-01-23T00:00:00"/>
    <s v="Bob"/>
    <s v="North"/>
    <n v="9813.81"/>
    <n v="40"/>
    <x v="2"/>
    <n v="2790.11"/>
    <n v="3192.37"/>
    <s v="Returning"/>
    <n v="0.26"/>
    <s v="Bank Transfer"/>
    <s v="Online"/>
    <s v="North-Bob"/>
    <n v="111604.40000000001"/>
    <n v="127694.79999999999"/>
    <n v="16090.39999999998"/>
  </r>
  <r>
    <d v="2023-03-04T00:00:00"/>
    <s v="David"/>
    <s v="East"/>
    <n v="7952.11"/>
    <n v="10"/>
    <x v="0"/>
    <n v="1531.2"/>
    <n v="1955.56"/>
    <s v="New"/>
    <n v="0"/>
    <s v="Credit Card"/>
    <s v="Online"/>
    <s v="East-David"/>
    <n v="15312"/>
    <n v="19555.599999999999"/>
    <n v="4243.5999999999985"/>
  </r>
  <r>
    <d v="2023-05-23T00:00:00"/>
    <s v="Bob"/>
    <s v="West"/>
    <n v="8552.4699999999993"/>
    <n v="19"/>
    <x v="1"/>
    <n v="2182.75"/>
    <n v="2504.0299999999902"/>
    <s v="New"/>
    <n v="0.01"/>
    <s v="Bank Transfer"/>
    <s v="Online"/>
    <s v="West-Bob"/>
    <n v="41472.25"/>
    <n v="47576.569999999811"/>
    <n v="6104.3199999998105"/>
  </r>
  <r>
    <d v="2023-06-02T00:00:00"/>
    <s v="Bob"/>
    <s v="East"/>
    <n v="2495.5700000000002"/>
    <n v="3"/>
    <x v="3"/>
    <n v="1595.35"/>
    <n v="1625.70999999999"/>
    <s v="New"/>
    <n v="0.27"/>
    <s v="Cash"/>
    <s v="Online"/>
    <s v="East-Bob"/>
    <n v="4786.0499999999993"/>
    <n v="4877.1299999999701"/>
    <n v="91.079999999970823"/>
  </r>
  <r>
    <d v="2023-05-25T00:00:00"/>
    <s v="Alice"/>
    <s v="North"/>
    <n v="9610.2099999999991"/>
    <n v="24"/>
    <x v="2"/>
    <n v="3639.3"/>
    <n v="3750.63"/>
    <s v="New"/>
    <n v="0.23"/>
    <s v="Bank Transfer"/>
    <s v="Retail"/>
    <s v="North-Alice"/>
    <n v="87343.200000000012"/>
    <n v="90015.12"/>
    <n v="2671.9199999999837"/>
  </r>
  <r>
    <d v="2023-08-13T00:00:00"/>
    <s v="Alice"/>
    <s v="West"/>
    <n v="2049.56"/>
    <n v="5"/>
    <x v="2"/>
    <n v="3991.69"/>
    <n v="4454.97"/>
    <s v="New"/>
    <n v="0.14000000000000001"/>
    <s v="Credit Card"/>
    <s v="Retail"/>
    <s v="West-Alice"/>
    <n v="19958.45"/>
    <n v="22274.850000000002"/>
    <n v="2316.4000000000015"/>
  </r>
  <r>
    <d v="2023-11-05T00:00:00"/>
    <s v="Alice"/>
    <s v="East"/>
    <n v="9519.16"/>
    <n v="3"/>
    <x v="0"/>
    <n v="4173.04"/>
    <n v="4362.4399999999996"/>
    <s v="New"/>
    <n v="0.23"/>
    <s v="Bank Transfer"/>
    <s v="Retail"/>
    <s v="East-Alice"/>
    <n v="12519.119999999999"/>
    <n v="13087.32"/>
    <n v="568.20000000000073"/>
  </r>
  <r>
    <d v="2023-04-14T00:00:00"/>
    <s v="Alice"/>
    <s v="East"/>
    <n v="9948.7099999999991"/>
    <n v="27"/>
    <x v="1"/>
    <n v="4929.55"/>
    <n v="4990.33"/>
    <s v="Returning"/>
    <n v="0.28999999999999998"/>
    <s v="Credit Card"/>
    <s v="Online"/>
    <s v="East-Alice"/>
    <n v="133097.85"/>
    <n v="134738.91"/>
    <n v="1641.0599999999977"/>
  </r>
  <r>
    <d v="2023-04-14T00:00:00"/>
    <s v="Eve"/>
    <s v="West"/>
    <n v="7146.06"/>
    <n v="16"/>
    <x v="2"/>
    <n v="3966.86"/>
    <n v="4321.04"/>
    <s v="Returning"/>
    <n v="0.23"/>
    <s v="Credit Card"/>
    <s v="Retail"/>
    <s v="West-Eve"/>
    <n v="63469.760000000002"/>
    <n v="69136.639999999999"/>
    <n v="5666.8799999999974"/>
  </r>
  <r>
    <d v="2023-02-08T00:00:00"/>
    <s v="Alice"/>
    <s v="South"/>
    <n v="9813.32"/>
    <n v="49"/>
    <x v="0"/>
    <n v="3026.85"/>
    <n v="3183.58"/>
    <s v="Returning"/>
    <n v="0.25"/>
    <s v="Cash"/>
    <s v="Retail"/>
    <s v="South-Alice"/>
    <n v="148315.65"/>
    <n v="155995.41999999998"/>
    <n v="7679.7699999999895"/>
  </r>
  <r>
    <d v="2023-07-17T00:00:00"/>
    <s v="Eve"/>
    <s v="West"/>
    <n v="5738.44"/>
    <n v="15"/>
    <x v="3"/>
    <n v="1729.14"/>
    <n v="1870.88"/>
    <s v="Returning"/>
    <n v="0.23"/>
    <s v="Cash"/>
    <s v="Online"/>
    <s v="West-Eve"/>
    <n v="25937.100000000002"/>
    <n v="28063.200000000001"/>
    <n v="2126.0999999999985"/>
  </r>
  <r>
    <d v="2023-05-14T00:00:00"/>
    <s v="Eve"/>
    <s v="South"/>
    <n v="2669.46"/>
    <n v="35"/>
    <x v="3"/>
    <n v="2745.75"/>
    <n v="3244.76"/>
    <s v="New"/>
    <n v="0.05"/>
    <s v="Bank Transfer"/>
    <s v="Online"/>
    <s v="South-Eve"/>
    <n v="96101.25"/>
    <n v="113566.6"/>
    <n v="17465.350000000006"/>
  </r>
  <r>
    <d v="2023-03-08T00:00:00"/>
    <s v="Alice"/>
    <s v="North"/>
    <n v="4426.26"/>
    <n v="12"/>
    <x v="2"/>
    <n v="253.29"/>
    <n v="683.78"/>
    <s v="New"/>
    <n v="0.25"/>
    <s v="Credit Card"/>
    <s v="Online"/>
    <s v="North-Alice"/>
    <n v="3039.48"/>
    <n v="8205.36"/>
    <n v="5165.880000000001"/>
  </r>
  <r>
    <d v="2023-06-28T00:00:00"/>
    <s v="Charlie"/>
    <s v="North"/>
    <n v="5976.25"/>
    <n v="41"/>
    <x v="2"/>
    <n v="3736.88"/>
    <n v="3946.77"/>
    <s v="Returning"/>
    <n v="0.06"/>
    <s v="Credit Card"/>
    <s v="Online"/>
    <s v="North-Charlie"/>
    <n v="153212.08000000002"/>
    <n v="161817.57"/>
    <n v="8605.4899999999907"/>
  </r>
  <r>
    <d v="2023-02-11T00:00:00"/>
    <s v="David"/>
    <s v="West"/>
    <n v="823.51"/>
    <n v="44"/>
    <x v="1"/>
    <n v="2257.48"/>
    <n v="2747.81"/>
    <s v="Returning"/>
    <n v="0.27"/>
    <s v="Cash"/>
    <s v="Online"/>
    <s v="West-David"/>
    <n v="99329.12"/>
    <n v="120903.64"/>
    <n v="21574.520000000004"/>
  </r>
  <r>
    <d v="2023-01-15T00:00:00"/>
    <s v="Bob"/>
    <s v="West"/>
    <n v="6261.2"/>
    <n v="26"/>
    <x v="1"/>
    <n v="149.11000000000001"/>
    <n v="477.67"/>
    <s v="Returning"/>
    <n v="0.14000000000000001"/>
    <s v="Cash"/>
    <s v="Retail"/>
    <s v="West-Bob"/>
    <n v="3876.8600000000006"/>
    <n v="12419.42"/>
    <n v="8542.56"/>
  </r>
  <r>
    <d v="2023-04-21T00:00:00"/>
    <s v="Eve"/>
    <s v="North"/>
    <n v="9813.66"/>
    <n v="47"/>
    <x v="2"/>
    <n v="359.41"/>
    <n v="733"/>
    <s v="Returning"/>
    <n v="0.2"/>
    <s v="Bank Transfer"/>
    <s v="Retail"/>
    <s v="North-Eve"/>
    <n v="16892.27"/>
    <n v="34451"/>
    <n v="17558.73"/>
  </r>
  <r>
    <d v="2023-06-06T00:00:00"/>
    <s v="David"/>
    <s v="South"/>
    <n v="1982.07"/>
    <n v="34"/>
    <x v="0"/>
    <n v="1967.96"/>
    <n v="1993.4"/>
    <s v="Returning"/>
    <n v="0.15"/>
    <s v="Credit Card"/>
    <s v="Online"/>
    <s v="South-David"/>
    <n v="66910.64"/>
    <n v="67775.600000000006"/>
    <n v="864.9600000000064"/>
  </r>
  <r>
    <d v="2023-10-16T00:00:00"/>
    <s v="Charlie"/>
    <s v="North"/>
    <n v="7946.69"/>
    <n v="23"/>
    <x v="1"/>
    <n v="2937.94"/>
    <n v="3007.53"/>
    <s v="Returning"/>
    <n v="0.03"/>
    <s v="Cash"/>
    <s v="Retail"/>
    <s v="North-Charlie"/>
    <n v="67572.62"/>
    <n v="69173.19"/>
    <n v="1600.570000000007"/>
  </r>
  <r>
    <d v="2023-08-19T00:00:00"/>
    <s v="Bob"/>
    <s v="West"/>
    <n v="9088.2000000000007"/>
    <n v="31"/>
    <x v="2"/>
    <n v="2347.81"/>
    <n v="2668.02"/>
    <s v="Returning"/>
    <n v="0.09"/>
    <s v="Bank Transfer"/>
    <s v="Retail"/>
    <s v="West-Bob"/>
    <n v="72782.11"/>
    <n v="82708.62"/>
    <n v="9926.5099999999948"/>
  </r>
  <r>
    <d v="2023-06-06T00:00:00"/>
    <s v="Bob"/>
    <s v="North"/>
    <n v="9442.65"/>
    <n v="20"/>
    <x v="1"/>
    <n v="3115.06"/>
    <n v="3565.58"/>
    <s v="Returning"/>
    <n v="0.3"/>
    <s v="Credit Card"/>
    <s v="Retail"/>
    <s v="North-Bob"/>
    <n v="62301.2"/>
    <n v="71311.600000000006"/>
    <n v="9010.4000000000087"/>
  </r>
  <r>
    <d v="2023-02-07T00:00:00"/>
    <s v="Eve"/>
    <s v="West"/>
    <n v="9605.34"/>
    <n v="12"/>
    <x v="2"/>
    <n v="2427.46"/>
    <n v="2743.09"/>
    <s v="New"/>
    <n v="0.28999999999999998"/>
    <s v="Credit Card"/>
    <s v="Retail"/>
    <s v="West-Eve"/>
    <n v="29129.52"/>
    <n v="32917.08"/>
    <n v="3787.5600000000013"/>
  </r>
  <r>
    <d v="2023-04-07T00:00:00"/>
    <s v="Alice"/>
    <s v="West"/>
    <n v="5262.45"/>
    <n v="23"/>
    <x v="3"/>
    <n v="3325.43"/>
    <n v="3401.1"/>
    <s v="New"/>
    <n v="0.1"/>
    <s v="Cash"/>
    <s v="Online"/>
    <s v="West-Alice"/>
    <n v="76484.89"/>
    <n v="78225.3"/>
    <n v="1740.4100000000035"/>
  </r>
  <r>
    <d v="2023-10-16T00:00:00"/>
    <s v="Charlie"/>
    <s v="North"/>
    <n v="9775.35"/>
    <n v="4"/>
    <x v="2"/>
    <n v="1134.67"/>
    <n v="1201.3900000000001"/>
    <s v="New"/>
    <n v="0.3"/>
    <s v="Bank Transfer"/>
    <s v="Retail"/>
    <s v="North-Charlie"/>
    <n v="4538.68"/>
    <n v="4805.5600000000004"/>
    <n v="266.88000000000011"/>
  </r>
  <r>
    <d v="2023-09-11T00:00:00"/>
    <s v="Eve"/>
    <s v="South"/>
    <n v="7597.37"/>
    <n v="23"/>
    <x v="3"/>
    <n v="608.57000000000005"/>
    <n v="1032.22"/>
    <s v="New"/>
    <n v="0.25"/>
    <s v="Cash"/>
    <s v="Retail"/>
    <s v="South-Eve"/>
    <n v="13997.11"/>
    <n v="23741.06"/>
    <n v="9743.9500000000007"/>
  </r>
  <r>
    <d v="2023-07-15T00:00:00"/>
    <s v="Charlie"/>
    <s v="East"/>
    <n v="1700.55"/>
    <n v="48"/>
    <x v="1"/>
    <n v="3002.35"/>
    <n v="3080.61"/>
    <s v="Returning"/>
    <n v="0.18"/>
    <s v="Bank Transfer"/>
    <s v="Retail"/>
    <s v="East-Charlie"/>
    <n v="144112.79999999999"/>
    <n v="147869.28"/>
    <n v="3756.4800000000105"/>
  </r>
  <r>
    <d v="2023-03-27T00:00:00"/>
    <s v="Alice"/>
    <s v="North"/>
    <n v="4821.3100000000004"/>
    <n v="48"/>
    <x v="2"/>
    <n v="2449.21"/>
    <n v="2714.12"/>
    <s v="New"/>
    <n v="0.01"/>
    <s v="Credit Card"/>
    <s v="Online"/>
    <s v="North-Alice"/>
    <n v="117562.08"/>
    <n v="130277.75999999999"/>
    <n v="12715.679999999993"/>
  </r>
  <r>
    <d v="2023-11-18T00:00:00"/>
    <s v="Alice"/>
    <s v="East"/>
    <n v="7211.48"/>
    <n v="1"/>
    <x v="1"/>
    <n v="182.99"/>
    <n v="211.18"/>
    <s v="Returning"/>
    <n v="0.27"/>
    <s v="Bank Transfer"/>
    <s v="Retail"/>
    <s v="East-Alice"/>
    <n v="182.99"/>
    <n v="211.18"/>
    <n v="28.189999999999998"/>
  </r>
  <r>
    <d v="2023-01-10T00:00:00"/>
    <s v="Eve"/>
    <s v="North"/>
    <n v="2548.67"/>
    <n v="25"/>
    <x v="3"/>
    <n v="1933.39"/>
    <n v="1982.92"/>
    <s v="New"/>
    <n v="0.17"/>
    <s v="Bank Transfer"/>
    <s v="Online"/>
    <s v="North-Eve"/>
    <n v="48334.75"/>
    <n v="49573"/>
    <n v="1238.25"/>
  </r>
  <r>
    <d v="2023-01-05T00:00:00"/>
    <s v="Alice"/>
    <s v="East"/>
    <n v="6442.09"/>
    <n v="2"/>
    <x v="2"/>
    <n v="575.32000000000005"/>
    <n v="914.77"/>
    <s v="Returning"/>
    <n v="0.26"/>
    <s v="Bank Transfer"/>
    <s v="Online"/>
    <s v="East-Alice"/>
    <n v="1150.6400000000001"/>
    <n v="1829.54"/>
    <n v="678.89999999999986"/>
  </r>
  <r>
    <d v="2023-05-03T00:00:00"/>
    <s v="David"/>
    <s v="South"/>
    <n v="6699.34"/>
    <n v="30"/>
    <x v="1"/>
    <n v="2680.22"/>
    <n v="3027.9199999999901"/>
    <s v="Returning"/>
    <n v="0.25"/>
    <s v="Bank Transfer"/>
    <s v="Online"/>
    <s v="South-David"/>
    <n v="80406.599999999991"/>
    <n v="90837.5999999997"/>
    <n v="10430.999999999709"/>
  </r>
  <r>
    <d v="2023-11-26T00:00:00"/>
    <s v="Bob"/>
    <s v="South"/>
    <n v="1710.73"/>
    <n v="3"/>
    <x v="3"/>
    <n v="2009.1"/>
    <n v="2186.42"/>
    <s v="New"/>
    <n v="0.25"/>
    <s v="Bank Transfer"/>
    <s v="Online"/>
    <s v="South-Bob"/>
    <n v="6027.2999999999993"/>
    <n v="6559.26"/>
    <n v="531.96000000000095"/>
  </r>
  <r>
    <d v="2023-12-19T00:00:00"/>
    <s v="Eve"/>
    <s v="North"/>
    <n v="5694.34"/>
    <n v="21"/>
    <x v="1"/>
    <n v="3085.1"/>
    <n v="3200.75"/>
    <s v="New"/>
    <n v="0.21"/>
    <s v="Cash"/>
    <s v="Retail"/>
    <s v="North-Eve"/>
    <n v="64787.1"/>
    <n v="67215.75"/>
    <n v="2428.6500000000015"/>
  </r>
  <r>
    <d v="2023-04-28T00:00:00"/>
    <s v="Charlie"/>
    <s v="West"/>
    <n v="7739.11"/>
    <n v="25"/>
    <x v="0"/>
    <n v="4037.73"/>
    <n v="4446.45"/>
    <s v="Returning"/>
    <n v="0.09"/>
    <s v="Bank Transfer"/>
    <s v="Online"/>
    <s v="West-Charlie"/>
    <n v="100943.25"/>
    <n v="111161.25"/>
    <n v="10218"/>
  </r>
  <r>
    <d v="2023-10-21T00:00:00"/>
    <s v="David"/>
    <s v="East"/>
    <n v="5039.07"/>
    <n v="20"/>
    <x v="3"/>
    <n v="1533.36"/>
    <n v="1649.73999999999"/>
    <s v="Returning"/>
    <n v="0.1"/>
    <s v="Bank Transfer"/>
    <s v="Online"/>
    <s v="East-David"/>
    <n v="30667.199999999997"/>
    <n v="32994.799999999799"/>
    <n v="2327.5999999998021"/>
  </r>
  <r>
    <d v="2023-06-08T00:00:00"/>
    <s v="Eve"/>
    <s v="West"/>
    <n v="219.82"/>
    <n v="49"/>
    <x v="3"/>
    <n v="4812.41"/>
    <n v="5088"/>
    <s v="Returning"/>
    <n v="0.09"/>
    <s v="Credit Card"/>
    <s v="Online"/>
    <s v="West-Eve"/>
    <n v="235808.09"/>
    <n v="249312"/>
    <n v="13503.910000000003"/>
  </r>
  <r>
    <d v="2023-10-30T00:00:00"/>
    <s v="Alice"/>
    <s v="West"/>
    <n v="189.48"/>
    <n v="22"/>
    <x v="3"/>
    <n v="2701.39"/>
    <n v="3185.81"/>
    <s v="New"/>
    <n v="0.01"/>
    <s v="Bank Transfer"/>
    <s v="Online"/>
    <s v="West-Alice"/>
    <n v="59430.579999999994"/>
    <n v="70087.819999999992"/>
    <n v="10657.239999999998"/>
  </r>
  <r>
    <d v="2023-08-16T00:00:00"/>
    <s v="Alice"/>
    <s v="West"/>
    <n v="3634.59"/>
    <n v="21"/>
    <x v="2"/>
    <n v="3110.54"/>
    <n v="3192.99"/>
    <s v="New"/>
    <n v="0.17"/>
    <s v="Credit Card"/>
    <s v="Online"/>
    <s v="West-Alice"/>
    <n v="65321.34"/>
    <n v="67052.789999999994"/>
    <n v="1731.4499999999971"/>
  </r>
  <r>
    <d v="2023-12-31T00:00:00"/>
    <s v="Alice"/>
    <s v="South"/>
    <n v="9269.32"/>
    <n v="33"/>
    <x v="2"/>
    <n v="3419.33"/>
    <n v="3890.3599999999901"/>
    <s v="Returning"/>
    <n v="0.21"/>
    <s v="Cash"/>
    <s v="Retail"/>
    <s v="South-Alice"/>
    <n v="112837.89"/>
    <n v="128381.87999999967"/>
    <n v="15543.989999999671"/>
  </r>
  <r>
    <d v="2023-08-04T00:00:00"/>
    <s v="Alice"/>
    <s v="North"/>
    <n v="2363.9"/>
    <n v="38"/>
    <x v="2"/>
    <n v="3350.32"/>
    <n v="3449.94"/>
    <s v="New"/>
    <n v="0.26"/>
    <s v="Cash"/>
    <s v="Online"/>
    <s v="North-Alice"/>
    <n v="127312.16"/>
    <n v="131097.72"/>
    <n v="3785.5599999999977"/>
  </r>
  <r>
    <d v="2023-07-03T00:00:00"/>
    <s v="Charlie"/>
    <s v="North"/>
    <n v="6380.2"/>
    <n v="15"/>
    <x v="0"/>
    <n v="2579.31"/>
    <n v="2867.36"/>
    <s v="Returning"/>
    <n v="0.04"/>
    <s v="Bank Transfer"/>
    <s v="Retail"/>
    <s v="North-Charlie"/>
    <n v="38689.65"/>
    <n v="43010.400000000001"/>
    <n v="4320.75"/>
  </r>
  <r>
    <d v="2023-01-15T00:00:00"/>
    <s v="David"/>
    <s v="South"/>
    <n v="2298.5500000000002"/>
    <n v="46"/>
    <x v="0"/>
    <n v="2172.38"/>
    <n v="2367.11"/>
    <s v="New"/>
    <n v="0.16"/>
    <s v="Cash"/>
    <s v="Retail"/>
    <s v="South-David"/>
    <n v="99929.48000000001"/>
    <n v="108887.06000000001"/>
    <n v="8957.5800000000017"/>
  </r>
  <r>
    <d v="2023-06-06T00:00:00"/>
    <s v="Bob"/>
    <s v="South"/>
    <n v="3284.53"/>
    <n v="15"/>
    <x v="3"/>
    <n v="316.22000000000003"/>
    <n v="799.04"/>
    <s v="New"/>
    <n v="0"/>
    <s v="Bank Transfer"/>
    <s v="Online"/>
    <s v="South-Bob"/>
    <n v="4743.3"/>
    <n v="11985.599999999999"/>
    <n v="7242.2999999999984"/>
  </r>
  <r>
    <d v="2023-05-16T00:00:00"/>
    <s v="Charlie"/>
    <s v="North"/>
    <n v="8495.6200000000008"/>
    <n v="46"/>
    <x v="0"/>
    <n v="159.32"/>
    <n v="303.36"/>
    <s v="New"/>
    <n v="0.03"/>
    <s v="Cash"/>
    <s v="Retail"/>
    <s v="North-Charlie"/>
    <n v="7328.7199999999993"/>
    <n v="13954.560000000001"/>
    <n v="6625.840000000002"/>
  </r>
  <r>
    <d v="2023-09-18T00:00:00"/>
    <s v="Charlie"/>
    <s v="West"/>
    <n v="7315.73"/>
    <n v="25"/>
    <x v="1"/>
    <n v="1821.91"/>
    <n v="2027.74"/>
    <s v="New"/>
    <n v="0.02"/>
    <s v="Bank Transfer"/>
    <s v="Retail"/>
    <s v="West-Charlie"/>
    <n v="45547.75"/>
    <n v="50693.5"/>
    <n v="5145.75"/>
  </r>
  <r>
    <d v="2023-06-06T00:00:00"/>
    <s v="Bob"/>
    <s v="East"/>
    <n v="1044.45"/>
    <n v="21"/>
    <x v="3"/>
    <n v="1701.62"/>
    <n v="2193.2199999999998"/>
    <s v="New"/>
    <n v="0.22"/>
    <s v="Bank Transfer"/>
    <s v="Retail"/>
    <s v="East-Bob"/>
    <n v="35734.019999999997"/>
    <n v="46057.619999999995"/>
    <n v="10323.599999999999"/>
  </r>
  <r>
    <d v="2023-02-16T00:00:00"/>
    <s v="Bob"/>
    <s v="East"/>
    <n v="4344.1499999999996"/>
    <n v="24"/>
    <x v="3"/>
    <n v="1969.09"/>
    <n v="2241.96"/>
    <s v="Returning"/>
    <n v="0.02"/>
    <s v="Credit Card"/>
    <s v="Online"/>
    <s v="East-Bob"/>
    <n v="47258.159999999996"/>
    <n v="53807.040000000001"/>
    <n v="6548.8800000000047"/>
  </r>
  <r>
    <d v="2023-11-20T00:00:00"/>
    <s v="Alice"/>
    <s v="East"/>
    <n v="388.78"/>
    <n v="5"/>
    <x v="1"/>
    <n v="734.92"/>
    <n v="991.21"/>
    <s v="Returning"/>
    <n v="0.21"/>
    <s v="Credit Card"/>
    <s v="Online"/>
    <s v="East-Alice"/>
    <n v="3674.6"/>
    <n v="4956.05"/>
    <n v="1281.4500000000003"/>
  </r>
  <r>
    <d v="2023-11-28T00:00:00"/>
    <s v="Charlie"/>
    <s v="West"/>
    <n v="4860.8100000000004"/>
    <n v="6"/>
    <x v="3"/>
    <n v="3703.93"/>
    <n v="3840.24"/>
    <s v="New"/>
    <n v="7.0000000000000007E-2"/>
    <s v="Credit Card"/>
    <s v="Online"/>
    <s v="West-Charlie"/>
    <n v="22223.579999999998"/>
    <n v="23041.439999999999"/>
    <n v="817.86000000000058"/>
  </r>
  <r>
    <d v="2023-06-22T00:00:00"/>
    <s v="Eve"/>
    <s v="North"/>
    <n v="6658.1"/>
    <n v="49"/>
    <x v="0"/>
    <n v="4291.97"/>
    <n v="4645.6400000000003"/>
    <s v="Returning"/>
    <n v="0.26"/>
    <s v="Credit Card"/>
    <s v="Online"/>
    <s v="North-Eve"/>
    <n v="210306.53"/>
    <n v="227636.36000000002"/>
    <n v="17329.830000000016"/>
  </r>
  <r>
    <d v="2023-05-10T00:00:00"/>
    <s v="Bob"/>
    <s v="South"/>
    <n v="1273.18"/>
    <n v="43"/>
    <x v="2"/>
    <n v="4696.6400000000003"/>
    <n v="4713.68"/>
    <s v="Returning"/>
    <n v="0.24"/>
    <s v="Bank Transfer"/>
    <s v="Online"/>
    <s v="South-Bob"/>
    <n v="201955.52000000002"/>
    <n v="202688.24000000002"/>
    <n v="732.72000000000116"/>
  </r>
  <r>
    <d v="2023-04-05T00:00:00"/>
    <s v="Bob"/>
    <s v="North"/>
    <n v="2959.96"/>
    <n v="48"/>
    <x v="1"/>
    <n v="2487.19"/>
    <n v="2521.4499999999998"/>
    <s v="New"/>
    <n v="0.28999999999999998"/>
    <s v="Cash"/>
    <s v="Online"/>
    <s v="North-Bob"/>
    <n v="119385.12"/>
    <n v="121029.59999999999"/>
    <n v="1644.4799999999959"/>
  </r>
  <r>
    <d v="2023-04-25T00:00:00"/>
    <s v="David"/>
    <s v="West"/>
    <n v="4038.58"/>
    <n v="44"/>
    <x v="0"/>
    <n v="3519.29"/>
    <n v="3822.98"/>
    <s v="Returning"/>
    <n v="0.27"/>
    <s v="Bank Transfer"/>
    <s v="Online"/>
    <s v="West-David"/>
    <n v="154848.76"/>
    <n v="168211.12"/>
    <n v="13362.359999999986"/>
  </r>
  <r>
    <d v="2023-08-31T00:00:00"/>
    <s v="Eve"/>
    <s v="South"/>
    <n v="9203.36"/>
    <n v="47"/>
    <x v="1"/>
    <n v="4284.9799999999996"/>
    <n v="4462.3999999999996"/>
    <s v="New"/>
    <n v="0.28000000000000003"/>
    <s v="Credit Card"/>
    <s v="Retail"/>
    <s v="South-Eve"/>
    <n v="201394.05999999997"/>
    <n v="209732.8"/>
    <n v="8338.7400000000198"/>
  </r>
  <r>
    <d v="2023-10-19T00:00:00"/>
    <s v="Eve"/>
    <s v="West"/>
    <n v="9933.2199999999993"/>
    <n v="23"/>
    <x v="1"/>
    <n v="2120.54"/>
    <n v="2597.67"/>
    <s v="Returning"/>
    <n v="0.26"/>
    <s v="Credit Card"/>
    <s v="Retail"/>
    <s v="West-Eve"/>
    <n v="48772.42"/>
    <n v="59746.41"/>
    <n v="10973.990000000005"/>
  </r>
  <r>
    <d v="2023-10-09T00:00:00"/>
    <s v="Bob"/>
    <s v="East"/>
    <n v="544.62"/>
    <n v="4"/>
    <x v="3"/>
    <n v="1581.59"/>
    <n v="2034.1499999999901"/>
    <s v="Returning"/>
    <n v="0.21"/>
    <s v="Cash"/>
    <s v="Online"/>
    <s v="East-Bob"/>
    <n v="6326.36"/>
    <n v="8136.5999999999603"/>
    <n v="1810.2399999999607"/>
  </r>
  <r>
    <d v="2023-10-26T00:00:00"/>
    <s v="Alice"/>
    <s v="East"/>
    <n v="7633.98"/>
    <n v="27"/>
    <x v="3"/>
    <n v="4686.79"/>
    <n v="5046.51"/>
    <s v="Returning"/>
    <n v="0.05"/>
    <s v="Credit Card"/>
    <s v="Retail"/>
    <s v="East-Alice"/>
    <n v="126543.33"/>
    <n v="136255.77000000002"/>
    <n v="9712.4400000000169"/>
  </r>
  <r>
    <d v="2023-10-10T00:00:00"/>
    <s v="David"/>
    <s v="West"/>
    <n v="3780.07"/>
    <n v="18"/>
    <x v="0"/>
    <n v="2602.6"/>
    <n v="3013.49"/>
    <s v="Returning"/>
    <n v="0.08"/>
    <s v="Bank Transfer"/>
    <s v="Online"/>
    <s v="West-David"/>
    <n v="46846.799999999996"/>
    <n v="54242.819999999992"/>
    <n v="7396.0199999999968"/>
  </r>
  <r>
    <d v="2023-03-10T00:00:00"/>
    <s v="Eve"/>
    <s v="South"/>
    <n v="3985.34"/>
    <n v="21"/>
    <x v="1"/>
    <n v="2511.41"/>
    <n v="2848.3999999999901"/>
    <s v="Returning"/>
    <n v="0.06"/>
    <s v="Bank Transfer"/>
    <s v="Online"/>
    <s v="South-Eve"/>
    <n v="52739.61"/>
    <n v="59816.39999999979"/>
    <n v="7076.7899999997899"/>
  </r>
  <r>
    <d v="2023-05-28T00:00:00"/>
    <s v="Bob"/>
    <s v="South"/>
    <n v="7567.22"/>
    <n v="28"/>
    <x v="3"/>
    <n v="933.16"/>
    <n v="1004.69999999999"/>
    <s v="Returning"/>
    <n v="0.18"/>
    <s v="Bank Transfer"/>
    <s v="Online"/>
    <s v="South-Bob"/>
    <n v="26128.48"/>
    <n v="28131.599999999722"/>
    <n v="2003.1199999997225"/>
  </r>
  <r>
    <d v="2023-01-11T00:00:00"/>
    <s v="Eve"/>
    <s v="North"/>
    <n v="9192.42"/>
    <n v="35"/>
    <x v="3"/>
    <n v="585.37"/>
    <n v="970.49"/>
    <s v="Returning"/>
    <n v="0.15"/>
    <s v="Bank Transfer"/>
    <s v="Retail"/>
    <s v="North-Eve"/>
    <n v="20487.95"/>
    <n v="33967.15"/>
    <n v="13479.2"/>
  </r>
  <r>
    <d v="2023-09-11T00:00:00"/>
    <s v="David"/>
    <s v="East"/>
    <n v="9514.19"/>
    <n v="22"/>
    <x v="1"/>
    <n v="4218.43"/>
    <n v="4331.42"/>
    <s v="New"/>
    <n v="0.26"/>
    <s v="Bank Transfer"/>
    <s v="Online"/>
    <s v="East-David"/>
    <n v="92805.46"/>
    <n v="95291.24"/>
    <n v="2485.7799999999988"/>
  </r>
  <r>
    <d v="2023-11-26T00:00:00"/>
    <s v="David"/>
    <s v="North"/>
    <n v="5813.51"/>
    <n v="40"/>
    <x v="0"/>
    <n v="3089.96"/>
    <n v="3258.45"/>
    <s v="New"/>
    <n v="0.28999999999999998"/>
    <s v="Cash"/>
    <s v="Online"/>
    <s v="North-David"/>
    <n v="123598.39999999999"/>
    <n v="130338"/>
    <n v="6739.6000000000058"/>
  </r>
  <r>
    <d v="2023-12-26T00:00:00"/>
    <s v="Charlie"/>
    <s v="North"/>
    <n v="3635.5"/>
    <n v="23"/>
    <x v="0"/>
    <n v="1662.83"/>
    <n v="2074.25"/>
    <s v="New"/>
    <n v="0.12"/>
    <s v="Bank Transfer"/>
    <s v="Online"/>
    <s v="North-Charlie"/>
    <n v="38245.089999999997"/>
    <n v="47707.75"/>
    <n v="9462.6600000000035"/>
  </r>
  <r>
    <d v="2023-02-07T00:00:00"/>
    <s v="Bob"/>
    <s v="West"/>
    <n v="7896.74"/>
    <n v="3"/>
    <x v="1"/>
    <n v="999.09"/>
    <n v="1271.99"/>
    <s v="New"/>
    <n v="0.15"/>
    <s v="Credit Card"/>
    <s v="Online"/>
    <s v="West-Bob"/>
    <n v="2997.27"/>
    <n v="3815.9700000000003"/>
    <n v="818.70000000000027"/>
  </r>
  <r>
    <d v="2023-05-14T00:00:00"/>
    <s v="David"/>
    <s v="West"/>
    <n v="2584.91"/>
    <n v="40"/>
    <x v="0"/>
    <n v="2799.71"/>
    <n v="3231.08"/>
    <s v="Returning"/>
    <n v="0.28999999999999998"/>
    <s v="Credit Card"/>
    <s v="Retail"/>
    <s v="West-David"/>
    <n v="111988.4"/>
    <n v="129243.2"/>
    <n v="17254.800000000003"/>
  </r>
  <r>
    <d v="2023-07-19T00:00:00"/>
    <s v="Charlie"/>
    <s v="North"/>
    <n v="5684.33"/>
    <n v="10"/>
    <x v="3"/>
    <n v="2940.4"/>
    <n v="3054.79"/>
    <s v="Returning"/>
    <n v="0.08"/>
    <s v="Credit Card"/>
    <s v="Online"/>
    <s v="North-Charlie"/>
    <n v="29404"/>
    <n v="30547.9"/>
    <n v="1143.9000000000015"/>
  </r>
  <r>
    <d v="2023-01-23T00:00:00"/>
    <s v="Charlie"/>
    <s v="East"/>
    <n v="3649.93"/>
    <n v="25"/>
    <x v="1"/>
    <n v="1074.6199999999999"/>
    <n v="1382.4299999999901"/>
    <s v="Returning"/>
    <n v="0.24"/>
    <s v="Credit Card"/>
    <s v="Retail"/>
    <s v="East-Charlie"/>
    <n v="26865.499999999996"/>
    <n v="34560.749999999753"/>
    <n v="7695.2499999997563"/>
  </r>
  <r>
    <d v="2023-10-30T00:00:00"/>
    <s v="Eve"/>
    <s v="West"/>
    <n v="6600.65"/>
    <n v="49"/>
    <x v="3"/>
    <n v="4264.46"/>
    <n v="4315.5200000000004"/>
    <s v="New"/>
    <n v="7.0000000000000007E-2"/>
    <s v="Cash"/>
    <s v="Retail"/>
    <s v="West-Eve"/>
    <n v="208958.54"/>
    <n v="211460.48000000001"/>
    <n v="2501.9400000000023"/>
  </r>
  <r>
    <d v="2023-12-12T00:00:00"/>
    <s v="Eve"/>
    <s v="North"/>
    <n v="2479.9499999999998"/>
    <n v="8"/>
    <x v="2"/>
    <n v="467.11"/>
    <n v="792.21"/>
    <s v="New"/>
    <n v="0.2"/>
    <s v="Credit Card"/>
    <s v="Online"/>
    <s v="North-Eve"/>
    <n v="3736.88"/>
    <n v="6337.68"/>
    <n v="2600.8000000000002"/>
  </r>
  <r>
    <d v="2023-10-29T00:00:00"/>
    <s v="Charlie"/>
    <s v="North"/>
    <n v="1996.77"/>
    <n v="11"/>
    <x v="2"/>
    <n v="1812.66"/>
    <n v="2196.3000000000002"/>
    <s v="New"/>
    <n v="0.08"/>
    <s v="Cash"/>
    <s v="Online"/>
    <s v="North-Charlie"/>
    <n v="19939.260000000002"/>
    <n v="24159.300000000003"/>
    <n v="4220.0400000000009"/>
  </r>
  <r>
    <d v="2023-12-29T00:00:00"/>
    <s v="Eve"/>
    <s v="North"/>
    <n v="9190.57"/>
    <n v="5"/>
    <x v="0"/>
    <n v="3417.9"/>
    <n v="3714.52"/>
    <s v="Returning"/>
    <n v="0.27"/>
    <s v="Credit Card"/>
    <s v="Retail"/>
    <s v="North-Eve"/>
    <n v="17089.5"/>
    <n v="18572.599999999999"/>
    <n v="1483.0999999999985"/>
  </r>
  <r>
    <d v="2023-08-06T00:00:00"/>
    <s v="David"/>
    <s v="North"/>
    <n v="1107.8599999999999"/>
    <n v="45"/>
    <x v="2"/>
    <n v="1406.9"/>
    <n v="1547.35"/>
    <s v="New"/>
    <n v="0.17"/>
    <s v="Cash"/>
    <s v="Retail"/>
    <s v="North-David"/>
    <n v="63310.500000000007"/>
    <n v="69630.75"/>
    <n v="6320.2499999999927"/>
  </r>
  <r>
    <d v="2023-05-21T00:00:00"/>
    <s v="Alice"/>
    <s v="North"/>
    <n v="5108.9799999999996"/>
    <n v="37"/>
    <x v="3"/>
    <n v="4146.99"/>
    <n v="4172.3499999999904"/>
    <s v="Returning"/>
    <n v="0.06"/>
    <s v="Cash"/>
    <s v="Retail"/>
    <s v="North-Alice"/>
    <n v="153438.63"/>
    <n v="154376.94999999963"/>
    <n v="938.31999999962864"/>
  </r>
  <r>
    <d v="2023-04-14T00:00:00"/>
    <s v="David"/>
    <s v="North"/>
    <n v="2286.44"/>
    <n v="45"/>
    <x v="2"/>
    <n v="3712.35"/>
    <n v="3780.88"/>
    <s v="New"/>
    <n v="7.0000000000000007E-2"/>
    <s v="Cash"/>
    <s v="Retail"/>
    <s v="North-David"/>
    <n v="167055.75"/>
    <n v="170139.6"/>
    <n v="3083.8500000000058"/>
  </r>
  <r>
    <d v="2023-07-29T00:00:00"/>
    <s v="Charlie"/>
    <s v="West"/>
    <n v="485.41"/>
    <n v="38"/>
    <x v="3"/>
    <n v="3955.66"/>
    <n v="4270.59"/>
    <s v="Returning"/>
    <n v="0.15"/>
    <s v="Credit Card"/>
    <s v="Online"/>
    <s v="West-Charlie"/>
    <n v="150315.07999999999"/>
    <n v="162282.42000000001"/>
    <n v="11967.340000000026"/>
  </r>
  <r>
    <d v="2023-04-21T00:00:00"/>
    <s v="Charlie"/>
    <s v="East"/>
    <n v="456.59"/>
    <n v="29"/>
    <x v="0"/>
    <n v="639.58000000000004"/>
    <n v="1107.45"/>
    <s v="New"/>
    <n v="0.28999999999999998"/>
    <s v="Cash"/>
    <s v="Retail"/>
    <s v="East-Charlie"/>
    <n v="18547.82"/>
    <n v="32116.050000000003"/>
    <n v="13568.230000000003"/>
  </r>
  <r>
    <d v="2023-04-14T00:00:00"/>
    <s v="David"/>
    <s v="North"/>
    <n v="1834.7"/>
    <n v="5"/>
    <x v="0"/>
    <n v="745.71"/>
    <n v="856.91"/>
    <s v="Returning"/>
    <n v="0.23"/>
    <s v="Bank Transfer"/>
    <s v="Retail"/>
    <s v="North-David"/>
    <n v="3728.55"/>
    <n v="4284.55"/>
    <n v="556"/>
  </r>
  <r>
    <d v="2023-11-12T00:00:00"/>
    <s v="Eve"/>
    <s v="South"/>
    <n v="8681.0300000000007"/>
    <n v="9"/>
    <x v="3"/>
    <n v="1468.05"/>
    <n v="1838.21"/>
    <s v="New"/>
    <n v="0.15"/>
    <s v="Bank Transfer"/>
    <s v="Retail"/>
    <s v="South-Eve"/>
    <n v="13212.449999999999"/>
    <n v="16543.89"/>
    <n v="3331.4400000000005"/>
  </r>
  <r>
    <d v="2023-06-20T00:00:00"/>
    <s v="Eve"/>
    <s v="West"/>
    <n v="2896.54"/>
    <n v="48"/>
    <x v="2"/>
    <n v="2614.48"/>
    <n v="3049.04"/>
    <s v="New"/>
    <n v="0.1"/>
    <s v="Credit Card"/>
    <s v="Retail"/>
    <s v="West-Eve"/>
    <n v="125495.04000000001"/>
    <n v="146353.91999999998"/>
    <n v="20858.879999999976"/>
  </r>
  <r>
    <d v="2023-12-22T00:00:00"/>
    <s v="Charlie"/>
    <s v="West"/>
    <n v="9509.5499999999993"/>
    <n v="2"/>
    <x v="0"/>
    <n v="3752.68"/>
    <n v="4017.91"/>
    <s v="Returning"/>
    <n v="0.16"/>
    <s v="Bank Transfer"/>
    <s v="Online"/>
    <s v="West-Charlie"/>
    <n v="7505.36"/>
    <n v="8035.82"/>
    <n v="530.46"/>
  </r>
  <r>
    <d v="2023-11-20T00:00:00"/>
    <s v="Bob"/>
    <s v="North"/>
    <n v="5858.06"/>
    <n v="1"/>
    <x v="1"/>
    <n v="4190.83"/>
    <n v="4528.7699999999904"/>
    <s v="Returning"/>
    <n v="0.22"/>
    <s v="Bank Transfer"/>
    <s v="Online"/>
    <s v="North-Bob"/>
    <n v="4190.83"/>
    <n v="4528.7699999999904"/>
    <n v="337.9399999999905"/>
  </r>
  <r>
    <d v="2023-05-13T00:00:00"/>
    <s v="Eve"/>
    <s v="West"/>
    <n v="4422.4799999999996"/>
    <n v="40"/>
    <x v="0"/>
    <n v="3536.46"/>
    <n v="3945.82"/>
    <s v="New"/>
    <n v="0.24"/>
    <s v="Bank Transfer"/>
    <s v="Online"/>
    <s v="West-Eve"/>
    <n v="141458.4"/>
    <n v="157832.80000000002"/>
    <n v="16374.400000000023"/>
  </r>
  <r>
    <d v="2023-10-20T00:00:00"/>
    <s v="David"/>
    <s v="North"/>
    <n v="5842.88"/>
    <n v="30"/>
    <x v="2"/>
    <n v="4646.55"/>
    <n v="4784.28"/>
    <s v="Returning"/>
    <n v="0.1"/>
    <s v="Credit Card"/>
    <s v="Retail"/>
    <s v="North-David"/>
    <n v="139396.5"/>
    <n v="143528.4"/>
    <n v="4131.8999999999942"/>
  </r>
  <r>
    <d v="2023-11-24T00:00:00"/>
    <s v="Eve"/>
    <s v="East"/>
    <n v="5215.3100000000004"/>
    <n v="11"/>
    <x v="1"/>
    <n v="3706.78"/>
    <n v="3862.26"/>
    <s v="New"/>
    <n v="0.22"/>
    <s v="Credit Card"/>
    <s v="Retail"/>
    <s v="East-Eve"/>
    <n v="40774.58"/>
    <n v="42484.86"/>
    <n v="1710.2799999999988"/>
  </r>
  <r>
    <d v="2023-05-07T00:00:00"/>
    <s v="David"/>
    <s v="East"/>
    <n v="7611.88"/>
    <n v="28"/>
    <x v="2"/>
    <n v="1566.03"/>
    <n v="1576.34"/>
    <s v="Returning"/>
    <n v="0.2"/>
    <s v="Bank Transfer"/>
    <s v="Online"/>
    <s v="East-David"/>
    <n v="43848.84"/>
    <n v="44137.52"/>
    <n v="288.68000000000029"/>
  </r>
  <r>
    <d v="2023-04-16T00:00:00"/>
    <s v="Charlie"/>
    <s v="West"/>
    <n v="2896.71"/>
    <n v="44"/>
    <x v="3"/>
    <n v="1362.15"/>
    <n v="1844.07"/>
    <s v="New"/>
    <n v="0.28999999999999998"/>
    <s v="Credit Card"/>
    <s v="Online"/>
    <s v="West-Charlie"/>
    <n v="59934.600000000006"/>
    <n v="81139.08"/>
    <n v="21204.479999999996"/>
  </r>
  <r>
    <d v="2023-04-02T00:00:00"/>
    <s v="Eve"/>
    <s v="West"/>
    <n v="3595.2"/>
    <n v="12"/>
    <x v="1"/>
    <n v="3496.15"/>
    <n v="3955.75"/>
    <s v="Returning"/>
    <n v="0.28000000000000003"/>
    <s v="Cash"/>
    <s v="Retail"/>
    <s v="West-Eve"/>
    <n v="41953.8"/>
    <n v="47469"/>
    <n v="5515.1999999999971"/>
  </r>
  <r>
    <d v="2023-10-14T00:00:00"/>
    <s v="David"/>
    <s v="South"/>
    <n v="8951.5300000000007"/>
    <n v="39"/>
    <x v="2"/>
    <n v="1004.71"/>
    <n v="1389.35"/>
    <s v="New"/>
    <n v="0.24"/>
    <s v="Bank Transfer"/>
    <s v="Online"/>
    <s v="South-David"/>
    <n v="39183.69"/>
    <n v="54184.649999999994"/>
    <n v="15000.959999999992"/>
  </r>
  <r>
    <d v="2023-02-20T00:00:00"/>
    <s v="Charlie"/>
    <s v="West"/>
    <n v="9469.92"/>
    <n v="26"/>
    <x v="1"/>
    <n v="508.94"/>
    <n v="557.69000000000005"/>
    <s v="New"/>
    <n v="0.22"/>
    <s v="Credit Card"/>
    <s v="Retail"/>
    <s v="West-Charlie"/>
    <n v="13232.44"/>
    <n v="14499.940000000002"/>
    <n v="1267.5000000000018"/>
  </r>
  <r>
    <d v="2023-01-29T00:00:00"/>
    <s v="Bob"/>
    <s v="South"/>
    <n v="8936.33"/>
    <n v="13"/>
    <x v="2"/>
    <n v="2684.5"/>
    <n v="2913.78"/>
    <s v="New"/>
    <n v="0.08"/>
    <s v="Credit Card"/>
    <s v="Retail"/>
    <s v="South-Bob"/>
    <n v="34898.5"/>
    <n v="37879.14"/>
    <n v="2980.6399999999994"/>
  </r>
  <r>
    <d v="2023-10-23T00:00:00"/>
    <s v="David"/>
    <s v="East"/>
    <n v="4252.54"/>
    <n v="8"/>
    <x v="1"/>
    <n v="4117.13"/>
    <n v="4177.0600000000004"/>
    <s v="Returning"/>
    <n v="0.25"/>
    <s v="Bank Transfer"/>
    <s v="Retail"/>
    <s v="East-David"/>
    <n v="32937.040000000001"/>
    <n v="33416.480000000003"/>
    <n v="479.44000000000233"/>
  </r>
  <r>
    <d v="2023-10-24T00:00:00"/>
    <s v="Bob"/>
    <s v="East"/>
    <n v="7825.62"/>
    <n v="28"/>
    <x v="2"/>
    <n v="551.83000000000004"/>
    <n v="569.63"/>
    <s v="New"/>
    <n v="0.13"/>
    <s v="Credit Card"/>
    <s v="Retail"/>
    <s v="East-Bob"/>
    <n v="15451.240000000002"/>
    <n v="15949.64"/>
    <n v="498.39999999999782"/>
  </r>
  <r>
    <d v="2023-08-02T00:00:00"/>
    <s v="Bob"/>
    <s v="North"/>
    <n v="4815.72"/>
    <n v="30"/>
    <x v="3"/>
    <n v="3969.86"/>
    <n v="4281.79"/>
    <s v="Returning"/>
    <n v="0.08"/>
    <s v="Bank Transfer"/>
    <s v="Retail"/>
    <s v="North-Bob"/>
    <n v="119095.8"/>
    <n v="128453.7"/>
    <n v="9357.8999999999942"/>
  </r>
  <r>
    <d v="2023-09-24T00:00:00"/>
    <s v="Alice"/>
    <s v="East"/>
    <n v="5025.6400000000003"/>
    <n v="9"/>
    <x v="1"/>
    <n v="4067.28"/>
    <n v="4548.09"/>
    <s v="Returning"/>
    <n v="0.12"/>
    <s v="Credit Card"/>
    <s v="Retail"/>
    <s v="East-Alice"/>
    <n v="36605.520000000004"/>
    <n v="40932.81"/>
    <n v="4327.2899999999936"/>
  </r>
  <r>
    <d v="2023-09-14T00:00:00"/>
    <s v="Eve"/>
    <s v="South"/>
    <n v="2126.33"/>
    <n v="39"/>
    <x v="1"/>
    <n v="2437.2600000000002"/>
    <n v="2889.67"/>
    <s v="Returning"/>
    <n v="0.25"/>
    <s v="Cash"/>
    <s v="Online"/>
    <s v="South-Eve"/>
    <n v="95053.140000000014"/>
    <n v="112697.13"/>
    <n v="17643.989999999991"/>
  </r>
  <r>
    <d v="2023-10-29T00:00:00"/>
    <s v="David"/>
    <s v="West"/>
    <n v="5952.19"/>
    <n v="31"/>
    <x v="1"/>
    <n v="333.69"/>
    <n v="685.1"/>
    <s v="New"/>
    <n v="0.04"/>
    <s v="Bank Transfer"/>
    <s v="Online"/>
    <s v="West-David"/>
    <n v="10344.39"/>
    <n v="21238.100000000002"/>
    <n v="10893.710000000003"/>
  </r>
  <r>
    <d v="2023-04-11T00:00:00"/>
    <s v="Bob"/>
    <s v="North"/>
    <n v="1942.75"/>
    <n v="21"/>
    <x v="1"/>
    <n v="914.22"/>
    <n v="971.57"/>
    <s v="Returning"/>
    <n v="0.14000000000000001"/>
    <s v="Cash"/>
    <s v="Online"/>
    <s v="North-Bob"/>
    <n v="19198.62"/>
    <n v="20402.97"/>
    <n v="1204.3500000000022"/>
  </r>
  <r>
    <d v="2023-12-12T00:00:00"/>
    <s v="Alice"/>
    <s v="South"/>
    <n v="3382.49"/>
    <n v="47"/>
    <x v="3"/>
    <n v="3551.76"/>
    <n v="3696.1"/>
    <s v="Returning"/>
    <n v="0.15"/>
    <s v="Bank Transfer"/>
    <s v="Retail"/>
    <s v="South-Alice"/>
    <n v="166932.72"/>
    <n v="173716.69999999998"/>
    <n v="6783.9799999999814"/>
  </r>
  <r>
    <d v="2023-04-20T00:00:00"/>
    <s v="Charlie"/>
    <s v="West"/>
    <n v="8564.7999999999993"/>
    <n v="34"/>
    <x v="1"/>
    <n v="3573.3"/>
    <n v="3740.13"/>
    <s v="Returning"/>
    <n v="0.01"/>
    <s v="Credit Card"/>
    <s v="Online"/>
    <s v="West-Charlie"/>
    <n v="121492.20000000001"/>
    <n v="127164.42"/>
    <n v="5672.2199999999866"/>
  </r>
  <r>
    <d v="2023-07-01T00:00:00"/>
    <s v="David"/>
    <s v="North"/>
    <n v="2150.0500000000002"/>
    <n v="31"/>
    <x v="0"/>
    <n v="4496.8599999999997"/>
    <n v="4880.7999999999902"/>
    <s v="New"/>
    <n v="0.06"/>
    <s v="Cash"/>
    <s v="Retail"/>
    <s v="North-David"/>
    <n v="139402.66"/>
    <n v="151304.7999999997"/>
    <n v="11902.139999999694"/>
  </r>
  <r>
    <d v="2023-11-09T00:00:00"/>
    <s v="Bob"/>
    <s v="East"/>
    <n v="804.47"/>
    <n v="25"/>
    <x v="3"/>
    <n v="2934.3"/>
    <n v="3337.4"/>
    <s v="Returning"/>
    <n v="0.25"/>
    <s v="Credit Card"/>
    <s v="Retail"/>
    <s v="East-Bob"/>
    <n v="73357.5"/>
    <n v="83435"/>
    <n v="10077.5"/>
  </r>
  <r>
    <d v="2023-01-01T00:00:00"/>
    <s v="Eve"/>
    <s v="South"/>
    <n v="783.18"/>
    <n v="12"/>
    <x v="0"/>
    <n v="664.33"/>
    <n v="863.03"/>
    <s v="Returning"/>
    <n v="0.25"/>
    <s v="Bank Transfer"/>
    <s v="Retail"/>
    <s v="South-Eve"/>
    <n v="7971.9600000000009"/>
    <n v="10356.36"/>
    <n v="2384.3999999999996"/>
  </r>
  <r>
    <d v="2023-11-15T00:00:00"/>
    <s v="Alice"/>
    <s v="West"/>
    <n v="9413.77"/>
    <n v="1"/>
    <x v="1"/>
    <n v="651"/>
    <n v="865.76"/>
    <s v="Returning"/>
    <n v="0.09"/>
    <s v="Bank Transfer"/>
    <s v="Retail"/>
    <s v="West-Alice"/>
    <n v="651"/>
    <n v="865.76"/>
    <n v="214.76"/>
  </r>
  <r>
    <d v="2023-02-24T00:00:00"/>
    <s v="Bob"/>
    <s v="North"/>
    <n v="5118.51"/>
    <n v="22"/>
    <x v="2"/>
    <n v="3619.61"/>
    <n v="3651.42"/>
    <s v="Returning"/>
    <n v="0.26"/>
    <s v="Bank Transfer"/>
    <s v="Online"/>
    <s v="North-Bob"/>
    <n v="79631.42"/>
    <n v="80331.240000000005"/>
    <n v="699.82000000000698"/>
  </r>
  <r>
    <d v="2023-05-29T00:00:00"/>
    <s v="Eve"/>
    <s v="North"/>
    <n v="4153.18"/>
    <n v="40"/>
    <x v="0"/>
    <n v="959.73"/>
    <n v="1111.4100000000001"/>
    <s v="New"/>
    <n v="0.23"/>
    <s v="Bank Transfer"/>
    <s v="Online"/>
    <s v="North-Eve"/>
    <n v="38389.199999999997"/>
    <n v="44456.4"/>
    <n v="6067.2000000000044"/>
  </r>
  <r>
    <d v="2023-11-05T00:00:00"/>
    <s v="Bob"/>
    <s v="East"/>
    <n v="8127.7"/>
    <n v="37"/>
    <x v="1"/>
    <n v="1675.51"/>
    <n v="1906.6399999999901"/>
    <s v="New"/>
    <n v="0.13"/>
    <s v="Bank Transfer"/>
    <s v="Online"/>
    <s v="East-Bob"/>
    <n v="61993.87"/>
    <n v="70545.679999999629"/>
    <n v="8551.8099999996266"/>
  </r>
  <r>
    <d v="2023-05-17T00:00:00"/>
    <s v="David"/>
    <s v="West"/>
    <n v="8374.68"/>
    <n v="47"/>
    <x v="0"/>
    <n v="2461.6999999999998"/>
    <n v="2529.02"/>
    <s v="Returning"/>
    <n v="0.22"/>
    <s v="Cash"/>
    <s v="Retail"/>
    <s v="West-David"/>
    <n v="115699.9"/>
    <n v="118863.94"/>
    <n v="3164.0400000000081"/>
  </r>
  <r>
    <d v="2023-07-21T00:00:00"/>
    <s v="David"/>
    <s v="East"/>
    <n v="3388.69"/>
    <n v="1"/>
    <x v="1"/>
    <n v="172.59"/>
    <n v="404.69"/>
    <s v="Returning"/>
    <n v="0.28999999999999998"/>
    <s v="Bank Transfer"/>
    <s v="Online"/>
    <s v="East-David"/>
    <n v="172.59"/>
    <n v="404.69"/>
    <n v="232.1"/>
  </r>
  <r>
    <d v="2023-11-09T00:00:00"/>
    <s v="David"/>
    <s v="East"/>
    <n v="6966.82"/>
    <n v="1"/>
    <x v="1"/>
    <n v="1281.6500000000001"/>
    <n v="1709.71"/>
    <s v="Returning"/>
    <n v="0.14000000000000001"/>
    <s v="Credit Card"/>
    <s v="Online"/>
    <s v="East-David"/>
    <n v="1281.6500000000001"/>
    <n v="1709.71"/>
    <n v="428.05999999999995"/>
  </r>
  <r>
    <d v="2023-04-27T00:00:00"/>
    <s v="Alice"/>
    <s v="West"/>
    <n v="7734.12"/>
    <n v="42"/>
    <x v="1"/>
    <n v="2069.0500000000002"/>
    <n v="2363.9"/>
    <s v="Returning"/>
    <n v="7.0000000000000007E-2"/>
    <s v="Cash"/>
    <s v="Online"/>
    <s v="West-Alice"/>
    <n v="86900.1"/>
    <n v="99283.8"/>
    <n v="12383.699999999997"/>
  </r>
  <r>
    <d v="2023-06-03T00:00:00"/>
    <s v="David"/>
    <s v="West"/>
    <n v="6581.04"/>
    <n v="42"/>
    <x v="2"/>
    <n v="1434.2"/>
    <n v="1482.88"/>
    <s v="New"/>
    <n v="0.28000000000000003"/>
    <s v="Credit Card"/>
    <s v="Retail"/>
    <s v="West-David"/>
    <n v="60236.4"/>
    <n v="62280.960000000006"/>
    <n v="2044.5600000000049"/>
  </r>
  <r>
    <d v="2023-10-18T00:00:00"/>
    <s v="Eve"/>
    <s v="West"/>
    <n v="1600.79"/>
    <n v="21"/>
    <x v="0"/>
    <n v="725.03"/>
    <n v="828.94999999999902"/>
    <s v="New"/>
    <n v="0.18"/>
    <s v="Bank Transfer"/>
    <s v="Online"/>
    <s v="West-Eve"/>
    <n v="15225.63"/>
    <n v="17407.949999999979"/>
    <n v="2182.3199999999797"/>
  </r>
  <r>
    <d v="2023-03-04T00:00:00"/>
    <s v="Bob"/>
    <s v="South"/>
    <n v="8771.24"/>
    <n v="15"/>
    <x v="3"/>
    <n v="3653.66"/>
    <n v="3896.19"/>
    <s v="New"/>
    <n v="0.03"/>
    <s v="Credit Card"/>
    <s v="Retail"/>
    <s v="South-Bob"/>
    <n v="54804.899999999994"/>
    <n v="58442.85"/>
    <n v="3637.9500000000044"/>
  </r>
  <r>
    <d v="2023-09-01T00:00:00"/>
    <s v="Charlie"/>
    <s v="West"/>
    <n v="5437.04"/>
    <n v="17"/>
    <x v="3"/>
    <n v="4075.08"/>
    <n v="4262.21"/>
    <s v="New"/>
    <n v="0.17"/>
    <s v="Cash"/>
    <s v="Online"/>
    <s v="West-Charlie"/>
    <n v="69276.36"/>
    <n v="72457.570000000007"/>
    <n v="3181.2100000000064"/>
  </r>
  <r>
    <d v="2023-01-25T00:00:00"/>
    <s v="Eve"/>
    <s v="North"/>
    <n v="2896.48"/>
    <n v="22"/>
    <x v="3"/>
    <n v="1324.52"/>
    <n v="1510.3"/>
    <s v="Returning"/>
    <n v="0.15"/>
    <s v="Cash"/>
    <s v="Retail"/>
    <s v="North-Eve"/>
    <n v="29139.439999999999"/>
    <n v="33226.6"/>
    <n v="4087.16"/>
  </r>
  <r>
    <d v="2023-03-31T00:00:00"/>
    <s v="Eve"/>
    <s v="East"/>
    <n v="4309.76"/>
    <n v="38"/>
    <x v="3"/>
    <n v="3883.38"/>
    <n v="4152.72"/>
    <s v="Returning"/>
    <n v="0.26"/>
    <s v="Cash"/>
    <s v="Online"/>
    <s v="East-Eve"/>
    <n v="147568.44"/>
    <n v="157803.36000000002"/>
    <n v="10234.920000000013"/>
  </r>
  <r>
    <d v="2023-03-16T00:00:00"/>
    <s v="David"/>
    <s v="South"/>
    <n v="471.95"/>
    <n v="35"/>
    <x v="1"/>
    <n v="1958.49"/>
    <n v="2254.84"/>
    <s v="New"/>
    <n v="0.16"/>
    <s v="Credit Card"/>
    <s v="Online"/>
    <s v="South-David"/>
    <n v="68547.149999999994"/>
    <n v="78919.400000000009"/>
    <n v="10372.250000000015"/>
  </r>
  <r>
    <d v="2023-10-21T00:00:00"/>
    <s v="Alice"/>
    <s v="West"/>
    <n v="1365.88"/>
    <n v="45"/>
    <x v="0"/>
    <n v="2558.09"/>
    <n v="2958.55"/>
    <s v="New"/>
    <n v="0.08"/>
    <s v="Cash"/>
    <s v="Online"/>
    <s v="West-Alice"/>
    <n v="115114.05"/>
    <n v="133134.75"/>
    <n v="18020.699999999997"/>
  </r>
  <r>
    <d v="2023-07-29T00:00:00"/>
    <s v="Bob"/>
    <s v="South"/>
    <n v="7678.91"/>
    <n v="16"/>
    <x v="0"/>
    <n v="4287.21"/>
    <n v="4464.28"/>
    <s v="Returning"/>
    <n v="0.2"/>
    <s v="Credit Card"/>
    <s v="Retail"/>
    <s v="South-Bob"/>
    <n v="68595.360000000001"/>
    <n v="71428.479999999996"/>
    <n v="2833.1199999999953"/>
  </r>
  <r>
    <d v="2023-12-13T00:00:00"/>
    <s v="Alice"/>
    <s v="West"/>
    <n v="100.12"/>
    <n v="8"/>
    <x v="2"/>
    <n v="3762.27"/>
    <n v="4166.95"/>
    <s v="Returning"/>
    <n v="0.16"/>
    <s v="Bank Transfer"/>
    <s v="Online"/>
    <s v="West-Alice"/>
    <n v="30098.16"/>
    <n v="33335.599999999999"/>
    <n v="3237.4399999999987"/>
  </r>
  <r>
    <d v="2023-01-17T00:00:00"/>
    <s v="Bob"/>
    <s v="South"/>
    <n v="4224"/>
    <n v="47"/>
    <x v="0"/>
    <n v="4035.33"/>
    <n v="4211.25"/>
    <s v="Returning"/>
    <n v="7.0000000000000007E-2"/>
    <s v="Bank Transfer"/>
    <s v="Online"/>
    <s v="South-Bob"/>
    <n v="189660.51"/>
    <n v="197928.75"/>
    <n v="8268.2399999999907"/>
  </r>
  <r>
    <d v="2023-05-08T00:00:00"/>
    <s v="Bob"/>
    <s v="East"/>
    <n v="5272.85"/>
    <n v="17"/>
    <x v="0"/>
    <n v="727.38"/>
    <n v="764.54"/>
    <s v="Returning"/>
    <n v="0.17"/>
    <s v="Credit Card"/>
    <s v="Retail"/>
    <s v="East-Bob"/>
    <n v="12365.46"/>
    <n v="12997.18"/>
    <n v="631.72000000000116"/>
  </r>
  <r>
    <d v="2023-12-30T00:00:00"/>
    <s v="Alice"/>
    <s v="East"/>
    <n v="640.88"/>
    <n v="17"/>
    <x v="0"/>
    <n v="395.11"/>
    <n v="676.66"/>
    <s v="Returning"/>
    <n v="0.25"/>
    <s v="Cash"/>
    <s v="Retail"/>
    <s v="East-Alice"/>
    <n v="6716.87"/>
    <n v="11503.22"/>
    <n v="4786.3499999999995"/>
  </r>
  <r>
    <d v="2023-09-08T00:00:00"/>
    <s v="Eve"/>
    <s v="North"/>
    <n v="9733.4699999999993"/>
    <n v="26"/>
    <x v="2"/>
    <n v="4472.3500000000004"/>
    <n v="4770.42"/>
    <s v="New"/>
    <n v="0.01"/>
    <s v="Credit Card"/>
    <s v="Retail"/>
    <s v="North-Eve"/>
    <n v="116281.1"/>
    <n v="124030.92"/>
    <n v="7749.8199999999924"/>
  </r>
  <r>
    <d v="2023-06-28T00:00:00"/>
    <s v="Bob"/>
    <s v="North"/>
    <n v="2338.64"/>
    <n v="13"/>
    <x v="3"/>
    <n v="1969.78"/>
    <n v="2437.6999999999998"/>
    <s v="New"/>
    <n v="0.19"/>
    <s v="Credit Card"/>
    <s v="Retail"/>
    <s v="North-Bob"/>
    <n v="25607.14"/>
    <n v="31690.1"/>
    <n v="6082.9599999999991"/>
  </r>
  <r>
    <d v="2023-07-01T00:00:00"/>
    <s v="Alice"/>
    <s v="West"/>
    <n v="3111.57"/>
    <n v="17"/>
    <x v="0"/>
    <n v="1475"/>
    <n v="1840.77"/>
    <s v="Returning"/>
    <n v="0.1"/>
    <s v="Credit Card"/>
    <s v="Online"/>
    <s v="West-Alice"/>
    <n v="25075"/>
    <n v="31293.09"/>
    <n v="6218.09"/>
  </r>
  <r>
    <d v="2023-06-01T00:00:00"/>
    <s v="Bob"/>
    <s v="East"/>
    <n v="3109.03"/>
    <n v="38"/>
    <x v="2"/>
    <n v="3637.25"/>
    <n v="4096.96"/>
    <s v="Returning"/>
    <n v="0.09"/>
    <s v="Bank Transfer"/>
    <s v="Online"/>
    <s v="East-Bob"/>
    <n v="138215.5"/>
    <n v="155684.48000000001"/>
    <n v="17468.98000000001"/>
  </r>
  <r>
    <d v="2023-01-25T00:00:00"/>
    <s v="Charlie"/>
    <s v="South"/>
    <n v="2381.12"/>
    <n v="17"/>
    <x v="2"/>
    <n v="4190.26"/>
    <n v="4645.3500000000004"/>
    <s v="New"/>
    <n v="0.12"/>
    <s v="Credit Card"/>
    <s v="Retail"/>
    <s v="South-Charlie"/>
    <n v="71234.42"/>
    <n v="78970.950000000012"/>
    <n v="7736.5300000000134"/>
  </r>
  <r>
    <d v="2023-06-29T00:00:00"/>
    <s v="Eve"/>
    <s v="South"/>
    <n v="114.59"/>
    <n v="48"/>
    <x v="1"/>
    <n v="4319.32"/>
    <n v="4625.5599999999904"/>
    <s v="Returning"/>
    <n v="0.1"/>
    <s v="Bank Transfer"/>
    <s v="Online"/>
    <s v="South-Eve"/>
    <n v="207327.35999999999"/>
    <n v="222026.87999999954"/>
    <n v="14699.519999999553"/>
  </r>
  <r>
    <d v="2023-07-17T00:00:00"/>
    <s v="David"/>
    <s v="South"/>
    <n v="7320.51"/>
    <n v="14"/>
    <x v="2"/>
    <n v="1614.19"/>
    <n v="1882.79"/>
    <s v="New"/>
    <n v="0.25"/>
    <s v="Credit Card"/>
    <s v="Retail"/>
    <s v="South-David"/>
    <n v="22598.66"/>
    <n v="26359.059999999998"/>
    <n v="3760.3999999999978"/>
  </r>
  <r>
    <d v="2023-12-10T00:00:00"/>
    <s v="Bob"/>
    <s v="North"/>
    <n v="9671.77"/>
    <n v="45"/>
    <x v="3"/>
    <n v="4268.45"/>
    <n v="4551.5999999999904"/>
    <s v="New"/>
    <n v="0.08"/>
    <s v="Bank Transfer"/>
    <s v="Online"/>
    <s v="North-Bob"/>
    <n v="192080.25"/>
    <n v="204821.99999999956"/>
    <n v="12741.749999999563"/>
  </r>
  <r>
    <d v="2023-06-10T00:00:00"/>
    <s v="Charlie"/>
    <s v="South"/>
    <n v="2320.5100000000002"/>
    <n v="6"/>
    <x v="0"/>
    <n v="252.62"/>
    <n v="742"/>
    <s v="New"/>
    <n v="0.22"/>
    <s v="Credit Card"/>
    <s v="Retail"/>
    <s v="South-Charlie"/>
    <n v="1515.72"/>
    <n v="4452"/>
    <n v="2936.2799999999997"/>
  </r>
  <r>
    <d v="2023-06-26T00:00:00"/>
    <s v="David"/>
    <s v="North"/>
    <n v="6664.17"/>
    <n v="35"/>
    <x v="2"/>
    <n v="295.82"/>
    <n v="684.67"/>
    <s v="New"/>
    <n v="0.03"/>
    <s v="Credit Card"/>
    <s v="Online"/>
    <s v="North-David"/>
    <n v="10353.699999999999"/>
    <n v="23963.449999999997"/>
    <n v="13609.749999999998"/>
  </r>
  <r>
    <d v="2023-10-12T00:00:00"/>
    <s v="David"/>
    <s v="North"/>
    <n v="7444.77"/>
    <n v="46"/>
    <x v="3"/>
    <n v="3136.42"/>
    <n v="3198.49"/>
    <s v="Returning"/>
    <n v="0.28999999999999998"/>
    <s v="Cash"/>
    <s v="Retail"/>
    <s v="North-David"/>
    <n v="144275.32"/>
    <n v="147130.53999999998"/>
    <n v="2855.2199999999721"/>
  </r>
  <r>
    <d v="2023-03-04T00:00:00"/>
    <s v="Bob"/>
    <s v="West"/>
    <n v="8499.41"/>
    <n v="14"/>
    <x v="2"/>
    <n v="362.38"/>
    <n v="753.81"/>
    <s v="Returning"/>
    <n v="0.19"/>
    <s v="Cash"/>
    <s v="Retail"/>
    <s v="West-Bob"/>
    <n v="5073.32"/>
    <n v="10553.34"/>
    <n v="5480.02"/>
  </r>
  <r>
    <d v="2023-05-30T00:00:00"/>
    <s v="Alice"/>
    <s v="South"/>
    <n v="4284.03"/>
    <n v="47"/>
    <x v="2"/>
    <n v="1656.82"/>
    <n v="1750.3799999999901"/>
    <s v="New"/>
    <n v="0.21"/>
    <s v="Credit Card"/>
    <s v="Online"/>
    <s v="South-Alice"/>
    <n v="77870.539999999994"/>
    <n v="82267.859999999535"/>
    <n v="4397.3199999995413"/>
  </r>
  <r>
    <d v="2023-06-03T00:00:00"/>
    <s v="Bob"/>
    <s v="South"/>
    <n v="3099.02"/>
    <n v="8"/>
    <x v="2"/>
    <n v="3380.14"/>
    <n v="3609.3399999999901"/>
    <s v="Returning"/>
    <n v="0.09"/>
    <s v="Credit Card"/>
    <s v="Online"/>
    <s v="South-Bob"/>
    <n v="27041.119999999999"/>
    <n v="28874.719999999921"/>
    <n v="1833.5999999999221"/>
  </r>
  <r>
    <d v="2023-06-05T00:00:00"/>
    <s v="Charlie"/>
    <s v="East"/>
    <n v="3320.42"/>
    <n v="15"/>
    <x v="2"/>
    <n v="1719.47"/>
    <n v="1832.6"/>
    <s v="Returning"/>
    <n v="0.12"/>
    <s v="Credit Card"/>
    <s v="Online"/>
    <s v="East-Charlie"/>
    <n v="25792.05"/>
    <n v="27489"/>
    <n v="1696.9500000000007"/>
  </r>
  <r>
    <d v="2023-02-18T00:00:00"/>
    <s v="David"/>
    <s v="West"/>
    <n v="7154.95"/>
    <n v="27"/>
    <x v="2"/>
    <n v="939.02"/>
    <n v="1286.92"/>
    <s v="Returning"/>
    <n v="7.0000000000000007E-2"/>
    <s v="Credit Card"/>
    <s v="Retail"/>
    <s v="West-David"/>
    <n v="25353.54"/>
    <n v="34746.840000000004"/>
    <n v="9393.3000000000029"/>
  </r>
  <r>
    <d v="2023-12-03T00:00:00"/>
    <s v="Bob"/>
    <s v="East"/>
    <n v="8186.12"/>
    <n v="13"/>
    <x v="3"/>
    <n v="1442.69"/>
    <n v="1882.57"/>
    <s v="Returning"/>
    <n v="0.28000000000000003"/>
    <s v="Cash"/>
    <s v="Online"/>
    <s v="East-Bob"/>
    <n v="18754.97"/>
    <n v="24473.41"/>
    <n v="5718.4399999999987"/>
  </r>
  <r>
    <d v="2023-03-25T00:00:00"/>
    <s v="Alice"/>
    <s v="West"/>
    <n v="1897.98"/>
    <n v="49"/>
    <x v="0"/>
    <n v="2315"/>
    <n v="2467.2800000000002"/>
    <s v="New"/>
    <n v="0.15"/>
    <s v="Bank Transfer"/>
    <s v="Retail"/>
    <s v="West-Alice"/>
    <n v="113435"/>
    <n v="120896.72000000002"/>
    <n v="7461.7200000000157"/>
  </r>
  <r>
    <d v="2023-12-27T00:00:00"/>
    <s v="Bob"/>
    <s v="South"/>
    <n v="3772.32"/>
    <n v="31"/>
    <x v="0"/>
    <n v="2403.16"/>
    <n v="2453.35"/>
    <s v="Returning"/>
    <n v="0.19"/>
    <s v="Credit Card"/>
    <s v="Online"/>
    <s v="South-Bob"/>
    <n v="74497.959999999992"/>
    <n v="76053.849999999991"/>
    <n v="1555.8899999999994"/>
  </r>
  <r>
    <d v="2023-06-26T00:00:00"/>
    <s v="Eve"/>
    <s v="North"/>
    <n v="9029.2099999999991"/>
    <n v="35"/>
    <x v="0"/>
    <n v="3925.85"/>
    <n v="4082.1099999999901"/>
    <s v="New"/>
    <n v="0.22"/>
    <s v="Cash"/>
    <s v="Online"/>
    <s v="North-Eve"/>
    <n v="137404.75"/>
    <n v="142873.84999999966"/>
    <n v="5469.0999999996566"/>
  </r>
  <r>
    <d v="2023-05-28T00:00:00"/>
    <s v="Alice"/>
    <s v="North"/>
    <n v="8086.27"/>
    <n v="6"/>
    <x v="0"/>
    <n v="3763.26"/>
    <n v="4102.72"/>
    <s v="New"/>
    <n v="0.11"/>
    <s v="Credit Card"/>
    <s v="Retail"/>
    <s v="North-Alice"/>
    <n v="22579.56"/>
    <n v="24616.32"/>
    <n v="2036.7599999999984"/>
  </r>
  <r>
    <d v="2023-04-28T00:00:00"/>
    <s v="Charlie"/>
    <s v="North"/>
    <n v="9850.1"/>
    <n v="5"/>
    <x v="3"/>
    <n v="2311.25"/>
    <n v="2482.34"/>
    <s v="Returning"/>
    <n v="0.22"/>
    <s v="Credit Card"/>
    <s v="Retail"/>
    <s v="North-Charlie"/>
    <n v="11556.25"/>
    <n v="12411.7"/>
    <n v="855.45000000000073"/>
  </r>
  <r>
    <d v="2023-12-08T00:00:00"/>
    <s v="David"/>
    <s v="North"/>
    <n v="7567.06"/>
    <n v="22"/>
    <x v="1"/>
    <n v="4236.05"/>
    <n v="4382.32"/>
    <s v="New"/>
    <n v="0.2"/>
    <s v="Bank Transfer"/>
    <s v="Online"/>
    <s v="North-David"/>
    <n v="93193.1"/>
    <n v="96411.04"/>
    <n v="3217.9399999999878"/>
  </r>
  <r>
    <d v="2023-03-04T00:00:00"/>
    <s v="Bob"/>
    <s v="North"/>
    <n v="3992.63"/>
    <n v="49"/>
    <x v="1"/>
    <n v="615.47"/>
    <n v="715.84"/>
    <s v="Returning"/>
    <n v="0.21"/>
    <s v="Credit Card"/>
    <s v="Retail"/>
    <s v="North-Bob"/>
    <n v="30158.030000000002"/>
    <n v="35076.160000000003"/>
    <n v="4918.130000000001"/>
  </r>
  <r>
    <d v="2023-07-08T00:00:00"/>
    <s v="Alice"/>
    <s v="East"/>
    <n v="5947.31"/>
    <n v="23"/>
    <x v="3"/>
    <n v="1314"/>
    <n v="1567.78"/>
    <s v="Returning"/>
    <n v="0.15"/>
    <s v="Credit Card"/>
    <s v="Retail"/>
    <s v="East-Alice"/>
    <n v="30222"/>
    <n v="36058.94"/>
    <n v="5836.9400000000023"/>
  </r>
  <r>
    <d v="2023-12-26T00:00:00"/>
    <s v="Eve"/>
    <s v="West"/>
    <n v="6644.04"/>
    <n v="25"/>
    <x v="3"/>
    <n v="4148.4799999999996"/>
    <n v="4293.6899999999996"/>
    <s v="New"/>
    <n v="0.11"/>
    <s v="Bank Transfer"/>
    <s v="Online"/>
    <s v="West-Eve"/>
    <n v="103711.99999999999"/>
    <n v="107342.24999999999"/>
    <n v="3630.25"/>
  </r>
  <r>
    <d v="2023-02-18T00:00:00"/>
    <s v="Alice"/>
    <s v="South"/>
    <n v="876.71"/>
    <n v="34"/>
    <x v="2"/>
    <n v="1921.07"/>
    <n v="2289.27"/>
    <s v="Returning"/>
    <n v="7.0000000000000007E-2"/>
    <s v="Bank Transfer"/>
    <s v="Retail"/>
    <s v="South-Alice"/>
    <n v="65316.38"/>
    <n v="77835.179999999993"/>
    <n v="12518.799999999996"/>
  </r>
  <r>
    <d v="2023-11-23T00:00:00"/>
    <s v="Eve"/>
    <s v="East"/>
    <n v="5490.52"/>
    <n v="26"/>
    <x v="2"/>
    <n v="4906.8500000000004"/>
    <n v="4954.3900000000003"/>
    <s v="New"/>
    <n v="0.25"/>
    <s v="Bank Transfer"/>
    <s v="Online"/>
    <s v="East-Eve"/>
    <n v="127578.1"/>
    <n v="128814.14000000001"/>
    <n v="1236.0400000000081"/>
  </r>
  <r>
    <d v="2023-09-14T00:00:00"/>
    <s v="Charlie"/>
    <s v="West"/>
    <n v="7122.28"/>
    <n v="47"/>
    <x v="2"/>
    <n v="2357.9499999999998"/>
    <n v="2693.33"/>
    <s v="New"/>
    <n v="0.18"/>
    <s v="Bank Transfer"/>
    <s v="Online"/>
    <s v="West-Charlie"/>
    <n v="110823.65"/>
    <n v="126586.51"/>
    <n v="15762.86"/>
  </r>
  <r>
    <d v="2023-08-12T00:00:00"/>
    <s v="David"/>
    <s v="North"/>
    <n v="1756.48"/>
    <n v="5"/>
    <x v="0"/>
    <n v="3970.08"/>
    <n v="4096.4799999999996"/>
    <s v="Returning"/>
    <n v="0.13"/>
    <s v="Cash"/>
    <s v="Retail"/>
    <s v="North-David"/>
    <n v="19850.400000000001"/>
    <n v="20482.399999999998"/>
    <n v="631.99999999999636"/>
  </r>
  <r>
    <d v="2023-05-21T00:00:00"/>
    <s v="Charlie"/>
    <s v="West"/>
    <n v="7828.25"/>
    <n v="26"/>
    <x v="2"/>
    <n v="2041.42"/>
    <n v="2291.17"/>
    <s v="Returning"/>
    <n v="0.28000000000000003"/>
    <s v="Cash"/>
    <s v="Online"/>
    <s v="West-Charlie"/>
    <n v="53076.92"/>
    <n v="59570.42"/>
    <n v="6493.5"/>
  </r>
  <r>
    <d v="2023-08-03T00:00:00"/>
    <s v="Bob"/>
    <s v="West"/>
    <n v="5879.35"/>
    <n v="20"/>
    <x v="1"/>
    <n v="2153.52"/>
    <n v="2303.6999999999998"/>
    <s v="Returning"/>
    <n v="0.01"/>
    <s v="Cash"/>
    <s v="Retail"/>
    <s v="West-Bob"/>
    <n v="43070.400000000001"/>
    <n v="46074"/>
    <n v="3003.5999999999985"/>
  </r>
  <r>
    <d v="2023-07-30T00:00:00"/>
    <s v="Alice"/>
    <s v="North"/>
    <n v="9527"/>
    <n v="6"/>
    <x v="0"/>
    <n v="1945.27"/>
    <n v="2309.4299999999998"/>
    <s v="New"/>
    <n v="0.26"/>
    <s v="Credit Card"/>
    <s v="Online"/>
    <s v="North-Alice"/>
    <n v="11671.619999999999"/>
    <n v="13856.579999999998"/>
    <n v="2184.9599999999991"/>
  </r>
  <r>
    <d v="2023-11-14T00:00:00"/>
    <s v="Eve"/>
    <s v="North"/>
    <n v="519.98"/>
    <n v="6"/>
    <x v="2"/>
    <n v="3609.42"/>
    <n v="4082.62"/>
    <s v="Returning"/>
    <n v="0.3"/>
    <s v="Bank Transfer"/>
    <s v="Retail"/>
    <s v="North-Eve"/>
    <n v="21656.52"/>
    <n v="24495.72"/>
    <n v="2839.2000000000007"/>
  </r>
  <r>
    <d v="2023-02-01T00:00:00"/>
    <s v="Eve"/>
    <s v="North"/>
    <n v="2726.73"/>
    <n v="18"/>
    <x v="0"/>
    <n v="2760.21"/>
    <n v="3219.58"/>
    <s v="New"/>
    <n v="0.27"/>
    <s v="Bank Transfer"/>
    <s v="Retail"/>
    <s v="North-Eve"/>
    <n v="49683.78"/>
    <n v="57952.44"/>
    <n v="8268.6600000000035"/>
  </r>
  <r>
    <d v="2023-06-07T00:00:00"/>
    <s v="Alice"/>
    <s v="South"/>
    <n v="6055.38"/>
    <n v="4"/>
    <x v="1"/>
    <n v="4721.7"/>
    <n v="5017.58"/>
    <s v="New"/>
    <n v="0.24"/>
    <s v="Cash"/>
    <s v="Retail"/>
    <s v="South-Alice"/>
    <n v="18886.8"/>
    <n v="20070.32"/>
    <n v="1183.5200000000004"/>
  </r>
  <r>
    <d v="2023-10-12T00:00:00"/>
    <s v="Alice"/>
    <s v="North"/>
    <n v="3035.94"/>
    <n v="17"/>
    <x v="2"/>
    <n v="1291.9100000000001"/>
    <n v="1528.59"/>
    <s v="Returning"/>
    <n v="0.11"/>
    <s v="Credit Card"/>
    <s v="Retail"/>
    <s v="North-Alice"/>
    <n v="21962.47"/>
    <n v="25986.03"/>
    <n v="4023.5599999999977"/>
  </r>
  <r>
    <d v="2023-11-01T00:00:00"/>
    <s v="Bob"/>
    <s v="South"/>
    <n v="7172.8"/>
    <n v="14"/>
    <x v="1"/>
    <n v="547.79"/>
    <n v="958.76"/>
    <s v="Returning"/>
    <n v="7.0000000000000007E-2"/>
    <s v="Credit Card"/>
    <s v="Retail"/>
    <s v="South-Bob"/>
    <n v="7669.0599999999995"/>
    <n v="13422.64"/>
    <n v="5753.58"/>
  </r>
  <r>
    <d v="2023-10-13T00:00:00"/>
    <s v="Charlie"/>
    <s v="North"/>
    <n v="7614.15"/>
    <n v="14"/>
    <x v="1"/>
    <n v="1996.64"/>
    <n v="2341.4699999999998"/>
    <s v="Returning"/>
    <n v="0.22"/>
    <s v="Credit Card"/>
    <s v="Online"/>
    <s v="North-Charlie"/>
    <n v="27952.960000000003"/>
    <n v="32780.579999999994"/>
    <n v="4827.6199999999917"/>
  </r>
  <r>
    <d v="2023-05-24T00:00:00"/>
    <s v="Eve"/>
    <s v="South"/>
    <n v="1114.9100000000001"/>
    <n v="13"/>
    <x v="1"/>
    <n v="3102.73"/>
    <n v="3202.68"/>
    <s v="New"/>
    <n v="0.09"/>
    <s v="Cash"/>
    <s v="Online"/>
    <s v="South-Eve"/>
    <n v="40335.49"/>
    <n v="41634.839999999997"/>
    <n v="1299.3499999999985"/>
  </r>
  <r>
    <d v="2023-01-19T00:00:00"/>
    <s v="Bob"/>
    <s v="West"/>
    <n v="5187.16"/>
    <n v="7"/>
    <x v="2"/>
    <n v="4310.95"/>
    <n v="4723.2"/>
    <s v="Returning"/>
    <n v="0.05"/>
    <s v="Credit Card"/>
    <s v="Retail"/>
    <s v="West-Bob"/>
    <n v="30176.649999999998"/>
    <n v="33062.400000000001"/>
    <n v="2885.7500000000036"/>
  </r>
  <r>
    <d v="2023-01-18T00:00:00"/>
    <s v="Charlie"/>
    <s v="East"/>
    <n v="5138.0200000000004"/>
    <n v="44"/>
    <x v="3"/>
    <n v="1763.67"/>
    <n v="1983.82"/>
    <s v="New"/>
    <n v="0.24"/>
    <s v="Credit Card"/>
    <s v="Online"/>
    <s v="East-Charlie"/>
    <n v="77601.48000000001"/>
    <n v="87288.08"/>
    <n v="9686.5999999999913"/>
  </r>
  <r>
    <d v="2023-09-14T00:00:00"/>
    <s v="Bob"/>
    <s v="West"/>
    <n v="3755.88"/>
    <n v="15"/>
    <x v="2"/>
    <n v="3286.24"/>
    <n v="3388.8399999999901"/>
    <s v="Returning"/>
    <n v="0.09"/>
    <s v="Credit Card"/>
    <s v="Retail"/>
    <s v="West-Bob"/>
    <n v="49293.599999999999"/>
    <n v="50832.599999999853"/>
    <n v="1538.9999999998545"/>
  </r>
  <r>
    <d v="2023-03-19T00:00:00"/>
    <s v="Eve"/>
    <s v="West"/>
    <n v="9335.9599999999991"/>
    <n v="19"/>
    <x v="1"/>
    <n v="1783.48"/>
    <n v="1931.56"/>
    <s v="Returning"/>
    <n v="0.27"/>
    <s v="Bank Transfer"/>
    <s v="Retail"/>
    <s v="West-Eve"/>
    <n v="33886.120000000003"/>
    <n v="36699.64"/>
    <n v="2813.5199999999968"/>
  </r>
  <r>
    <d v="2023-06-24T00:00:00"/>
    <s v="Alice"/>
    <s v="North"/>
    <n v="8292.31"/>
    <n v="43"/>
    <x v="2"/>
    <n v="3105.24"/>
    <n v="3246.33"/>
    <s v="New"/>
    <n v="0.25"/>
    <s v="Cash"/>
    <s v="Online"/>
    <s v="North-Alice"/>
    <n v="133525.31999999998"/>
    <n v="139592.19"/>
    <n v="6066.8700000000244"/>
  </r>
  <r>
    <d v="2023-07-13T00:00:00"/>
    <s v="Alice"/>
    <s v="South"/>
    <n v="7002.37"/>
    <n v="47"/>
    <x v="1"/>
    <n v="4429.8"/>
    <n v="4694.21"/>
    <s v="New"/>
    <n v="0.25"/>
    <s v="Bank Transfer"/>
    <s v="Online"/>
    <s v="South-Alice"/>
    <n v="208200.6"/>
    <n v="220627.87"/>
    <n v="12427.26999999999"/>
  </r>
  <r>
    <d v="2023-04-23T00:00:00"/>
    <s v="Charlie"/>
    <s v="East"/>
    <n v="7171.83"/>
    <n v="44"/>
    <x v="3"/>
    <n v="1195.22"/>
    <n v="1320.06"/>
    <s v="Returning"/>
    <n v="0.23"/>
    <s v="Bank Transfer"/>
    <s v="Retail"/>
    <s v="East-Charlie"/>
    <n v="52589.68"/>
    <n v="58082.64"/>
    <n v="5492.9599999999991"/>
  </r>
  <r>
    <d v="2023-04-24T00:00:00"/>
    <s v="David"/>
    <s v="North"/>
    <n v="4670.99"/>
    <n v="35"/>
    <x v="0"/>
    <n v="2051"/>
    <n v="2121.5500000000002"/>
    <s v="Returning"/>
    <n v="0.26"/>
    <s v="Cash"/>
    <s v="Retail"/>
    <s v="North-David"/>
    <n v="71785"/>
    <n v="74254.25"/>
    <n v="2469.25"/>
  </r>
  <r>
    <d v="2023-08-10T00:00:00"/>
    <s v="Charlie"/>
    <s v="North"/>
    <n v="9217.85"/>
    <n v="17"/>
    <x v="3"/>
    <n v="4966.66"/>
    <n v="5037.2699999999904"/>
    <s v="Returning"/>
    <n v="0.24"/>
    <s v="Bank Transfer"/>
    <s v="Retail"/>
    <s v="North-Charlie"/>
    <n v="84433.22"/>
    <n v="85633.589999999836"/>
    <n v="1200.3699999998353"/>
  </r>
  <r>
    <d v="2023-06-15T00:00:00"/>
    <s v="David"/>
    <s v="North"/>
    <n v="6976.49"/>
    <n v="35"/>
    <x v="3"/>
    <n v="4349.3599999999997"/>
    <n v="4645.17"/>
    <s v="Returning"/>
    <n v="0.18"/>
    <s v="Credit Card"/>
    <s v="Retail"/>
    <s v="North-David"/>
    <n v="152227.59999999998"/>
    <n v="162580.95000000001"/>
    <n v="10353.350000000035"/>
  </r>
  <r>
    <d v="2023-11-15T00:00:00"/>
    <s v="Bob"/>
    <s v="West"/>
    <n v="7316.91"/>
    <n v="19"/>
    <x v="0"/>
    <n v="2844.97"/>
    <n v="3215"/>
    <s v="Returning"/>
    <n v="0.09"/>
    <s v="Credit Card"/>
    <s v="Retail"/>
    <s v="West-Bob"/>
    <n v="54054.429999999993"/>
    <n v="61085"/>
    <n v="7030.570000000007"/>
  </r>
  <r>
    <d v="2023-05-12T00:00:00"/>
    <s v="Bob"/>
    <s v="South"/>
    <n v="8630.74"/>
    <n v="20"/>
    <x v="2"/>
    <n v="2607.31"/>
    <n v="2774.86"/>
    <s v="New"/>
    <n v="0.27"/>
    <s v="Credit Card"/>
    <s v="Retail"/>
    <s v="South-Bob"/>
    <n v="52146.2"/>
    <n v="55497.200000000004"/>
    <n v="3351.0000000000073"/>
  </r>
  <r>
    <d v="2023-09-21T00:00:00"/>
    <s v="Eve"/>
    <s v="South"/>
    <n v="2813.31"/>
    <n v="36"/>
    <x v="0"/>
    <n v="1458.77"/>
    <n v="1485.75"/>
    <s v="New"/>
    <n v="0.25"/>
    <s v="Credit Card"/>
    <s v="Online"/>
    <s v="South-Eve"/>
    <n v="52515.72"/>
    <n v="53487"/>
    <n v="971.27999999999884"/>
  </r>
  <r>
    <d v="2023-02-24T00:00:00"/>
    <s v="David"/>
    <s v="East"/>
    <n v="8090"/>
    <n v="35"/>
    <x v="2"/>
    <n v="2610.19"/>
    <n v="2682.53"/>
    <s v="New"/>
    <n v="0.14000000000000001"/>
    <s v="Cash"/>
    <s v="Retail"/>
    <s v="East-David"/>
    <n v="91356.650000000009"/>
    <n v="93888.55"/>
    <n v="2531.8999999999942"/>
  </r>
  <r>
    <d v="2023-12-25T00:00:00"/>
    <s v="Eve"/>
    <s v="South"/>
    <n v="2032.88"/>
    <n v="32"/>
    <x v="2"/>
    <n v="4248.5"/>
    <n v="4706.7"/>
    <s v="New"/>
    <n v="0.01"/>
    <s v="Bank Transfer"/>
    <s v="Retail"/>
    <s v="South-Eve"/>
    <n v="135952"/>
    <n v="150614.39999999999"/>
    <n v="14662.399999999994"/>
  </r>
  <r>
    <d v="2023-05-11T00:00:00"/>
    <s v="Alice"/>
    <s v="South"/>
    <n v="3518.89"/>
    <n v="48"/>
    <x v="1"/>
    <n v="3441.61"/>
    <n v="3693.45"/>
    <s v="Returning"/>
    <n v="0.19"/>
    <s v="Bank Transfer"/>
    <s v="Online"/>
    <s v="South-Alice"/>
    <n v="165197.28"/>
    <n v="177285.59999999998"/>
    <n v="12088.319999999978"/>
  </r>
  <r>
    <d v="2023-10-15T00:00:00"/>
    <s v="David"/>
    <s v="North"/>
    <n v="3422.54"/>
    <n v="44"/>
    <x v="1"/>
    <n v="1485.72"/>
    <n v="1717.97"/>
    <s v="New"/>
    <n v="0.02"/>
    <s v="Credit Card"/>
    <s v="Retail"/>
    <s v="North-David"/>
    <n v="65371.68"/>
    <n v="75590.680000000008"/>
    <n v="10219.000000000007"/>
  </r>
  <r>
    <d v="2023-09-23T00:00:00"/>
    <s v="Charlie"/>
    <s v="North"/>
    <n v="9787.4"/>
    <n v="40"/>
    <x v="0"/>
    <n v="1047.25"/>
    <n v="1075.8900000000001"/>
    <s v="New"/>
    <n v="0.28000000000000003"/>
    <s v="Credit Card"/>
    <s v="Retail"/>
    <s v="North-Charlie"/>
    <n v="41890"/>
    <n v="43035.600000000006"/>
    <n v="1145.6000000000058"/>
  </r>
  <r>
    <d v="2024-01-01T00:00:00"/>
    <s v="Alice"/>
    <s v="West"/>
    <n v="8579.7199999999993"/>
    <n v="24"/>
    <x v="3"/>
    <n v="1362.78"/>
    <n v="1729.81"/>
    <s v="New"/>
    <n v="0.28999999999999998"/>
    <s v="Bank Transfer"/>
    <s v="Online"/>
    <s v="West-Alice"/>
    <n v="32706.720000000001"/>
    <n v="41515.440000000002"/>
    <n v="8808.7200000000012"/>
  </r>
  <r>
    <d v="2023-06-11T00:00:00"/>
    <s v="Alice"/>
    <s v="North"/>
    <n v="7041.58"/>
    <n v="17"/>
    <x v="0"/>
    <n v="890.31"/>
    <n v="1159.06"/>
    <s v="Returning"/>
    <n v="0.06"/>
    <s v="Cash"/>
    <s v="Retail"/>
    <s v="North-Alice"/>
    <n v="15135.269999999999"/>
    <n v="19704.02"/>
    <n v="4568.7500000000018"/>
  </r>
  <r>
    <d v="2023-03-28T00:00:00"/>
    <s v="Charlie"/>
    <s v="North"/>
    <n v="7297.86"/>
    <n v="7"/>
    <x v="2"/>
    <n v="523.41999999999996"/>
    <n v="632.43999999999903"/>
    <s v="New"/>
    <n v="0.2"/>
    <s v="Bank Transfer"/>
    <s v="Online"/>
    <s v="North-Charlie"/>
    <n v="3663.9399999999996"/>
    <n v="4427.0799999999936"/>
    <n v="763.13999999999396"/>
  </r>
  <r>
    <d v="2023-02-24T00:00:00"/>
    <s v="Alice"/>
    <s v="North"/>
    <n v="5664.52"/>
    <n v="43"/>
    <x v="1"/>
    <n v="2124.7199999999998"/>
    <n v="2188.66"/>
    <s v="Returning"/>
    <n v="0.03"/>
    <s v="Credit Card"/>
    <s v="Retail"/>
    <s v="North-Alice"/>
    <n v="91362.959999999992"/>
    <n v="94112.37999999999"/>
    <n v="2749.4199999999983"/>
  </r>
  <r>
    <d v="2023-10-15T00:00:00"/>
    <s v="David"/>
    <s v="North"/>
    <n v="9476.2000000000007"/>
    <n v="1"/>
    <x v="0"/>
    <n v="610.83000000000004"/>
    <n v="808.69"/>
    <s v="New"/>
    <n v="0.22"/>
    <s v="Credit Card"/>
    <s v="Online"/>
    <s v="North-David"/>
    <n v="610.83000000000004"/>
    <n v="808.69"/>
    <n v="197.86"/>
  </r>
  <r>
    <d v="2023-06-27T00:00:00"/>
    <s v="Eve"/>
    <s v="West"/>
    <n v="5012.96"/>
    <n v="35"/>
    <x v="0"/>
    <n v="900.97"/>
    <n v="1321.18"/>
    <s v="Returning"/>
    <n v="0.1"/>
    <s v="Cash"/>
    <s v="Online"/>
    <s v="West-Eve"/>
    <n v="31533.95"/>
    <n v="46241.3"/>
    <n v="14707.350000000002"/>
  </r>
  <r>
    <d v="2023-12-15T00:00:00"/>
    <s v="Alice"/>
    <s v="North"/>
    <n v="3867.13"/>
    <n v="32"/>
    <x v="1"/>
    <n v="2759.26"/>
    <n v="3193.25"/>
    <s v="New"/>
    <n v="0.2"/>
    <s v="Bank Transfer"/>
    <s v="Online"/>
    <s v="North-Alice"/>
    <n v="88296.320000000007"/>
    <n v="102184"/>
    <n v="13887.679999999993"/>
  </r>
  <r>
    <d v="2023-01-08T00:00:00"/>
    <s v="David"/>
    <s v="East"/>
    <n v="1714.05"/>
    <n v="36"/>
    <x v="1"/>
    <n v="864.77"/>
    <n v="1170.1599999999901"/>
    <s v="Returning"/>
    <n v="0.11"/>
    <s v="Cash"/>
    <s v="Retail"/>
    <s v="East-David"/>
    <n v="31131.72"/>
    <n v="42125.759999999646"/>
    <n v="10994.039999999644"/>
  </r>
  <r>
    <d v="2023-11-17T00:00:00"/>
    <s v="Bob"/>
    <s v="East"/>
    <n v="7883.44"/>
    <n v="13"/>
    <x v="1"/>
    <n v="366.2"/>
    <n v="732.69"/>
    <s v="New"/>
    <n v="0.04"/>
    <s v="Cash"/>
    <s v="Retail"/>
    <s v="East-Bob"/>
    <n v="4760.5999999999995"/>
    <n v="9524.9700000000012"/>
    <n v="4764.3700000000017"/>
  </r>
  <r>
    <d v="2023-11-09T00:00:00"/>
    <s v="David"/>
    <s v="East"/>
    <n v="7370.99"/>
    <n v="6"/>
    <x v="2"/>
    <n v="1621.07"/>
    <n v="1687.5"/>
    <s v="Returning"/>
    <n v="0.12"/>
    <s v="Credit Card"/>
    <s v="Online"/>
    <s v="East-David"/>
    <n v="9726.42"/>
    <n v="10125"/>
    <n v="398.57999999999993"/>
  </r>
  <r>
    <d v="2023-09-04T00:00:00"/>
    <s v="Eve"/>
    <s v="East"/>
    <n v="3905.11"/>
    <n v="14"/>
    <x v="1"/>
    <n v="1140.58"/>
    <n v="1438.76"/>
    <s v="Returning"/>
    <n v="0.03"/>
    <s v="Bank Transfer"/>
    <s v="Online"/>
    <s v="East-Eve"/>
    <n v="15968.119999999999"/>
    <n v="20142.64"/>
    <n v="4174.5200000000004"/>
  </r>
  <r>
    <d v="2023-11-19T00:00:00"/>
    <s v="David"/>
    <s v="North"/>
    <n v="349.41"/>
    <n v="37"/>
    <x v="3"/>
    <n v="2600.7600000000002"/>
    <n v="2937.57"/>
    <s v="New"/>
    <n v="0.17"/>
    <s v="Credit Card"/>
    <s v="Retail"/>
    <s v="North-David"/>
    <n v="96228.12000000001"/>
    <n v="108690.09000000001"/>
    <n v="12461.970000000001"/>
  </r>
  <r>
    <d v="2023-09-12T00:00:00"/>
    <s v="Charlie"/>
    <s v="East"/>
    <n v="8406.07"/>
    <n v="48"/>
    <x v="0"/>
    <n v="556.72"/>
    <n v="665.07"/>
    <s v="Returning"/>
    <n v="0.01"/>
    <s v="Bank Transfer"/>
    <s v="Retail"/>
    <s v="East-Charlie"/>
    <n v="26722.560000000001"/>
    <n v="31923.360000000001"/>
    <n v="5200.7999999999993"/>
  </r>
  <r>
    <d v="2023-11-24T00:00:00"/>
    <s v="Eve"/>
    <s v="North"/>
    <n v="213.04"/>
    <n v="15"/>
    <x v="1"/>
    <n v="3771.27"/>
    <n v="4212.55"/>
    <s v="Returning"/>
    <n v="0.16"/>
    <s v="Credit Card"/>
    <s v="Retail"/>
    <s v="North-Eve"/>
    <n v="56569.05"/>
    <n v="63188.25"/>
    <n v="6619.1999999999971"/>
  </r>
  <r>
    <d v="2023-02-23T00:00:00"/>
    <s v="Bob"/>
    <s v="West"/>
    <n v="7066.63"/>
    <n v="47"/>
    <x v="1"/>
    <n v="4535.8599999999997"/>
    <n v="4641.41"/>
    <s v="New"/>
    <n v="0.27"/>
    <s v="Credit Card"/>
    <s v="Retail"/>
    <s v="West-Bob"/>
    <n v="213185.41999999998"/>
    <n v="218146.27"/>
    <n v="4960.8500000000058"/>
  </r>
  <r>
    <d v="2023-09-06T00:00:00"/>
    <s v="Charlie"/>
    <s v="East"/>
    <n v="9705.5499999999993"/>
    <n v="4"/>
    <x v="2"/>
    <n v="3730"/>
    <n v="3893.6"/>
    <s v="New"/>
    <n v="0.25"/>
    <s v="Bank Transfer"/>
    <s v="Retail"/>
    <s v="East-Charlie"/>
    <n v="14920"/>
    <n v="15574.4"/>
    <n v="654.39999999999964"/>
  </r>
  <r>
    <d v="2023-08-27T00:00:00"/>
    <s v="David"/>
    <s v="South"/>
    <n v="4432.8500000000004"/>
    <n v="40"/>
    <x v="2"/>
    <n v="2687.49"/>
    <n v="3001.56"/>
    <s v="Returning"/>
    <n v="0.26"/>
    <s v="Bank Transfer"/>
    <s v="Online"/>
    <s v="South-David"/>
    <n v="107499.59999999999"/>
    <n v="120062.39999999999"/>
    <n v="12562.800000000003"/>
  </r>
  <r>
    <d v="2023-08-17T00:00:00"/>
    <s v="Eve"/>
    <s v="East"/>
    <n v="2426.2399999999998"/>
    <n v="16"/>
    <x v="0"/>
    <n v="4310.3100000000004"/>
    <n v="4633.1000000000004"/>
    <s v="New"/>
    <n v="0.28000000000000003"/>
    <s v="Credit Card"/>
    <s v="Retail"/>
    <s v="East-Eve"/>
    <n v="68964.960000000006"/>
    <n v="74129.600000000006"/>
    <n v="5164.6399999999994"/>
  </r>
  <r>
    <d v="2023-03-08T00:00:00"/>
    <s v="Bob"/>
    <s v="East"/>
    <n v="7078.22"/>
    <n v="28"/>
    <x v="3"/>
    <n v="3489.85"/>
    <n v="3842.5499999999902"/>
    <s v="New"/>
    <n v="0.03"/>
    <s v="Bank Transfer"/>
    <s v="Online"/>
    <s v="East-Bob"/>
    <n v="97715.8"/>
    <n v="107591.39999999973"/>
    <n v="9875.5999999997293"/>
  </r>
  <r>
    <d v="2023-02-20T00:00:00"/>
    <s v="Charlie"/>
    <s v="North"/>
    <n v="8189.57"/>
    <n v="16"/>
    <x v="0"/>
    <n v="102.23"/>
    <n v="167.12"/>
    <s v="New"/>
    <n v="0.04"/>
    <s v="Credit Card"/>
    <s v="Retail"/>
    <s v="North-Charlie"/>
    <n v="1635.68"/>
    <n v="2673.92"/>
    <n v="1038.24"/>
  </r>
  <r>
    <d v="2023-04-07T00:00:00"/>
    <s v="Bob"/>
    <s v="East"/>
    <n v="5509.66"/>
    <n v="4"/>
    <x v="1"/>
    <n v="2000.75"/>
    <n v="2426.9899999999998"/>
    <s v="Returning"/>
    <n v="0.17"/>
    <s v="Bank Transfer"/>
    <s v="Online"/>
    <s v="East-Bob"/>
    <n v="8003"/>
    <n v="9707.9599999999991"/>
    <n v="1704.9599999999991"/>
  </r>
  <r>
    <d v="2023-04-02T00:00:00"/>
    <s v="David"/>
    <s v="South"/>
    <n v="9673.65"/>
    <n v="45"/>
    <x v="3"/>
    <n v="4262.21"/>
    <n v="4533.3100000000004"/>
    <s v="Returning"/>
    <n v="0.27"/>
    <s v="Credit Card"/>
    <s v="Online"/>
    <s v="South-David"/>
    <n v="191799.45"/>
    <n v="203998.95"/>
    <n v="12199.5"/>
  </r>
  <r>
    <d v="2023-09-21T00:00:00"/>
    <s v="Bob"/>
    <s v="North"/>
    <n v="611.52"/>
    <n v="26"/>
    <x v="3"/>
    <n v="1762"/>
    <n v="2002.95"/>
    <s v="Returning"/>
    <n v="0.28999999999999998"/>
    <s v="Credit Card"/>
    <s v="Retail"/>
    <s v="North-Bob"/>
    <n v="45812"/>
    <n v="52076.700000000004"/>
    <n v="6264.7000000000044"/>
  </r>
  <r>
    <d v="2023-10-18T00:00:00"/>
    <s v="Alice"/>
    <s v="North"/>
    <n v="5097.4799999999996"/>
    <n v="28"/>
    <x v="3"/>
    <n v="224.32"/>
    <n v="715.06"/>
    <s v="Returning"/>
    <n v="0.01"/>
    <s v="Credit Card"/>
    <s v="Online"/>
    <s v="North-Alice"/>
    <n v="6280.96"/>
    <n v="20021.68"/>
    <n v="13740.720000000001"/>
  </r>
  <r>
    <d v="2023-04-06T00:00:00"/>
    <s v="Charlie"/>
    <s v="West"/>
    <n v="7212.69"/>
    <n v="32"/>
    <x v="3"/>
    <n v="3743.59"/>
    <n v="4116.38"/>
    <s v="Returning"/>
    <n v="0.11"/>
    <s v="Cash"/>
    <s v="Online"/>
    <s v="West-Charlie"/>
    <n v="119794.88"/>
    <n v="131724.16"/>
    <n v="11929.279999999999"/>
  </r>
  <r>
    <d v="2023-03-29T00:00:00"/>
    <s v="Bob"/>
    <s v="West"/>
    <n v="8640.14"/>
    <n v="45"/>
    <x v="0"/>
    <n v="4020.09"/>
    <n v="4087.91"/>
    <s v="Returning"/>
    <n v="0.06"/>
    <s v="Bank Transfer"/>
    <s v="Online"/>
    <s v="West-Bob"/>
    <n v="180904.05000000002"/>
    <n v="183955.94999999998"/>
    <n v="3051.8999999999651"/>
  </r>
  <r>
    <d v="2023-03-19T00:00:00"/>
    <s v="David"/>
    <s v="East"/>
    <n v="1874.63"/>
    <n v="2"/>
    <x v="2"/>
    <n v="844.94"/>
    <n v="1225.6400000000001"/>
    <s v="Returning"/>
    <n v="0.23"/>
    <s v="Credit Card"/>
    <s v="Online"/>
    <s v="East-David"/>
    <n v="1689.88"/>
    <n v="2451.2800000000002"/>
    <n v="761.40000000000009"/>
  </r>
  <r>
    <d v="2023-10-15T00:00:00"/>
    <s v="David"/>
    <s v="West"/>
    <n v="8020.03"/>
    <n v="31"/>
    <x v="2"/>
    <n v="2709.84"/>
    <n v="2766.51"/>
    <s v="New"/>
    <n v="0.19"/>
    <s v="Cash"/>
    <s v="Retail"/>
    <s v="West-David"/>
    <n v="84005.040000000008"/>
    <n v="85761.810000000012"/>
    <n v="1756.7700000000041"/>
  </r>
  <r>
    <d v="2023-04-30T00:00:00"/>
    <s v="Bob"/>
    <s v="West"/>
    <n v="5571.8"/>
    <n v="3"/>
    <x v="1"/>
    <n v="1000.18"/>
    <n v="1023.64"/>
    <s v="Returning"/>
    <n v="0.04"/>
    <s v="Credit Card"/>
    <s v="Online"/>
    <s v="West-Bob"/>
    <n v="3000.54"/>
    <n v="3070.92"/>
    <n v="70.380000000000109"/>
  </r>
  <r>
    <d v="2023-10-29T00:00:00"/>
    <s v="David"/>
    <s v="West"/>
    <n v="4025.88"/>
    <n v="8"/>
    <x v="2"/>
    <n v="3610.21"/>
    <n v="3817.99"/>
    <s v="Returning"/>
    <n v="0.15"/>
    <s v="Cash"/>
    <s v="Retail"/>
    <s v="West-David"/>
    <n v="28881.68"/>
    <n v="30543.919999999998"/>
    <n v="1662.239999999998"/>
  </r>
  <r>
    <d v="2023-06-14T00:00:00"/>
    <s v="Eve"/>
    <s v="North"/>
    <n v="1403.98"/>
    <n v="24"/>
    <x v="2"/>
    <n v="1394.17"/>
    <n v="1891.02"/>
    <s v="New"/>
    <n v="0.21"/>
    <s v="Credit Card"/>
    <s v="Online"/>
    <s v="North-Eve"/>
    <n v="33460.080000000002"/>
    <n v="45384.479999999996"/>
    <n v="11924.399999999994"/>
  </r>
  <r>
    <d v="2023-07-01T00:00:00"/>
    <s v="Eve"/>
    <s v="North"/>
    <n v="8666.43"/>
    <n v="15"/>
    <x v="2"/>
    <n v="1615.26"/>
    <n v="1710.95"/>
    <s v="New"/>
    <n v="0.23"/>
    <s v="Credit Card"/>
    <s v="Retail"/>
    <s v="North-Eve"/>
    <n v="24228.9"/>
    <n v="25664.25"/>
    <n v="1435.3499999999985"/>
  </r>
  <r>
    <d v="2023-08-11T00:00:00"/>
    <s v="Eve"/>
    <s v="North"/>
    <n v="1657"/>
    <n v="43"/>
    <x v="2"/>
    <n v="4232.6099999999997"/>
    <n v="4572.21"/>
    <s v="New"/>
    <n v="0.01"/>
    <s v="Cash"/>
    <s v="Retail"/>
    <s v="North-Eve"/>
    <n v="182002.22999999998"/>
    <n v="196605.03"/>
    <n v="14602.800000000017"/>
  </r>
  <r>
    <d v="2023-11-07T00:00:00"/>
    <s v="Alice"/>
    <s v="West"/>
    <n v="3166.9"/>
    <n v="31"/>
    <x v="1"/>
    <n v="2407.8000000000002"/>
    <n v="2502.7600000000002"/>
    <s v="Returning"/>
    <n v="0.27"/>
    <s v="Cash"/>
    <s v="Retail"/>
    <s v="West-Alice"/>
    <n v="74641.8"/>
    <n v="77585.560000000012"/>
    <n v="2943.7600000000093"/>
  </r>
  <r>
    <d v="2023-01-07T00:00:00"/>
    <s v="Bob"/>
    <s v="North"/>
    <n v="2971.45"/>
    <n v="9"/>
    <x v="0"/>
    <n v="3365.28"/>
    <n v="3730.43"/>
    <s v="New"/>
    <n v="0.17"/>
    <s v="Bank Transfer"/>
    <s v="Online"/>
    <s v="North-Bob"/>
    <n v="30287.52"/>
    <n v="33573.869999999995"/>
    <n v="3286.3499999999949"/>
  </r>
  <r>
    <d v="2023-11-26T00:00:00"/>
    <s v="Alice"/>
    <s v="West"/>
    <n v="8727"/>
    <n v="39"/>
    <x v="3"/>
    <n v="2041.75"/>
    <n v="2299.37"/>
    <s v="Returning"/>
    <n v="0.24"/>
    <s v="Bank Transfer"/>
    <s v="Retail"/>
    <s v="West-Alice"/>
    <n v="79628.25"/>
    <n v="89675.43"/>
    <n v="10047.179999999993"/>
  </r>
  <r>
    <d v="2023-09-20T00:00:00"/>
    <s v="David"/>
    <s v="North"/>
    <n v="6759.76"/>
    <n v="45"/>
    <x v="2"/>
    <n v="1525.13"/>
    <n v="1868.32"/>
    <s v="Returning"/>
    <n v="0.24"/>
    <s v="Cash"/>
    <s v="Retail"/>
    <s v="North-David"/>
    <n v="68630.850000000006"/>
    <n v="84074.4"/>
    <n v="15443.549999999988"/>
  </r>
  <r>
    <d v="2023-06-10T00:00:00"/>
    <s v="Alice"/>
    <s v="North"/>
    <n v="7987.15"/>
    <n v="2"/>
    <x v="0"/>
    <n v="3146.12"/>
    <n v="3255.5299999999902"/>
    <s v="Returning"/>
    <n v="0.06"/>
    <s v="Bank Transfer"/>
    <s v="Online"/>
    <s v="North-Alice"/>
    <n v="6292.24"/>
    <n v="6511.0599999999804"/>
    <n v="218.81999999998061"/>
  </r>
  <r>
    <d v="2023-05-31T00:00:00"/>
    <s v="David"/>
    <s v="South"/>
    <n v="2579.63"/>
    <n v="8"/>
    <x v="2"/>
    <n v="816.54"/>
    <n v="1191.9000000000001"/>
    <s v="New"/>
    <n v="0.03"/>
    <s v="Cash"/>
    <s v="Retail"/>
    <s v="South-David"/>
    <n v="6532.32"/>
    <n v="9535.2000000000007"/>
    <n v="3002.880000000001"/>
  </r>
  <r>
    <d v="2023-03-26T00:00:00"/>
    <s v="David"/>
    <s v="East"/>
    <n v="6286.25"/>
    <n v="7"/>
    <x v="2"/>
    <n v="1896.35"/>
    <n v="2394.1999999999998"/>
    <s v="New"/>
    <n v="0.22"/>
    <s v="Bank Transfer"/>
    <s v="Online"/>
    <s v="East-David"/>
    <n v="13274.449999999999"/>
    <n v="16759.399999999998"/>
    <n v="3484.9499999999989"/>
  </r>
  <r>
    <d v="2023-05-27T00:00:00"/>
    <s v="Charlie"/>
    <s v="West"/>
    <n v="5760.29"/>
    <n v="44"/>
    <x v="3"/>
    <n v="1084.73"/>
    <n v="1420.9"/>
    <s v="Returning"/>
    <n v="0.05"/>
    <s v="Credit Card"/>
    <s v="Online"/>
    <s v="West-Charlie"/>
    <n v="47728.12"/>
    <n v="62519.600000000006"/>
    <n v="14791.480000000003"/>
  </r>
  <r>
    <d v="2023-04-22T00:00:00"/>
    <s v="Eve"/>
    <s v="South"/>
    <n v="8345.02"/>
    <n v="39"/>
    <x v="3"/>
    <n v="3494.19"/>
    <n v="3746"/>
    <s v="Returning"/>
    <n v="0.25"/>
    <s v="Bank Transfer"/>
    <s v="Retail"/>
    <s v="South-Eve"/>
    <n v="136273.41"/>
    <n v="146094"/>
    <n v="9820.5899999999965"/>
  </r>
  <r>
    <d v="2023-02-05T00:00:00"/>
    <s v="David"/>
    <s v="North"/>
    <n v="9070.26"/>
    <n v="42"/>
    <x v="3"/>
    <n v="4723.83"/>
    <n v="5186.1899999999996"/>
    <s v="Returning"/>
    <n v="0.22"/>
    <s v="Credit Card"/>
    <s v="Online"/>
    <s v="North-David"/>
    <n v="198400.86"/>
    <n v="217819.97999999998"/>
    <n v="19419.119999999995"/>
  </r>
  <r>
    <d v="2023-10-12T00:00:00"/>
    <s v="Charlie"/>
    <s v="West"/>
    <n v="220.35"/>
    <n v="16"/>
    <x v="2"/>
    <n v="4977.78"/>
    <n v="4995.55"/>
    <s v="New"/>
    <n v="0.25"/>
    <s v="Credit Card"/>
    <s v="Online"/>
    <s v="West-Charlie"/>
    <n v="79644.479999999996"/>
    <n v="79928.800000000003"/>
    <n v="284.32000000000698"/>
  </r>
  <r>
    <d v="2023-07-07T00:00:00"/>
    <s v="Eve"/>
    <s v="North"/>
    <n v="6772.8"/>
    <n v="35"/>
    <x v="2"/>
    <n v="2278.87"/>
    <n v="2646.5299999999902"/>
    <s v="Returning"/>
    <n v="0.09"/>
    <s v="Bank Transfer"/>
    <s v="Online"/>
    <s v="North-Eve"/>
    <n v="79760.45"/>
    <n v="92628.549999999654"/>
    <n v="12868.099999999657"/>
  </r>
  <r>
    <d v="2023-03-23T00:00:00"/>
    <s v="David"/>
    <s v="East"/>
    <n v="613.16999999999996"/>
    <n v="30"/>
    <x v="2"/>
    <n v="1300.03"/>
    <n v="1745.52"/>
    <s v="New"/>
    <n v="0.09"/>
    <s v="Cash"/>
    <s v="Retail"/>
    <s v="East-David"/>
    <n v="39000.9"/>
    <n v="52365.599999999999"/>
    <n v="13364.699999999997"/>
  </r>
  <r>
    <d v="2023-01-02T00:00:00"/>
    <s v="David"/>
    <s v="South"/>
    <n v="5533.7"/>
    <n v="10"/>
    <x v="3"/>
    <n v="2242.0100000000002"/>
    <n v="2282.23"/>
    <s v="Returning"/>
    <n v="0.2"/>
    <s v="Credit Card"/>
    <s v="Online"/>
    <s v="South-David"/>
    <n v="22420.100000000002"/>
    <n v="22822.3"/>
    <n v="402.19999999999709"/>
  </r>
  <r>
    <d v="2023-10-30T00:00:00"/>
    <s v="Alice"/>
    <s v="East"/>
    <n v="2947.56"/>
    <n v="38"/>
    <x v="1"/>
    <n v="4243.9799999999996"/>
    <n v="4474.5099999999902"/>
    <s v="New"/>
    <n v="0.01"/>
    <s v="Credit Card"/>
    <s v="Online"/>
    <s v="East-Alice"/>
    <n v="161271.24"/>
    <n v="170031.37999999963"/>
    <n v="8760.1399999996356"/>
  </r>
  <r>
    <d v="2023-07-16T00:00:00"/>
    <s v="Alice"/>
    <s v="South"/>
    <n v="3137.09"/>
    <n v="18"/>
    <x v="0"/>
    <n v="1069.73"/>
    <n v="1180.04"/>
    <s v="Returning"/>
    <n v="0.22"/>
    <s v="Bank Transfer"/>
    <s v="Online"/>
    <s v="South-Alice"/>
    <n v="19255.14"/>
    <n v="21240.720000000001"/>
    <n v="1985.5800000000017"/>
  </r>
  <r>
    <d v="2023-01-11T00:00:00"/>
    <s v="Eve"/>
    <s v="North"/>
    <n v="3594.29"/>
    <n v="5"/>
    <x v="1"/>
    <n v="4762.87"/>
    <n v="5050.46"/>
    <s v="New"/>
    <n v="0.25"/>
    <s v="Cash"/>
    <s v="Retail"/>
    <s v="North-Eve"/>
    <n v="23814.35"/>
    <n v="25252.3"/>
    <n v="1437.9500000000007"/>
  </r>
  <r>
    <d v="2023-08-22T00:00:00"/>
    <s v="David"/>
    <s v="East"/>
    <n v="6250.8"/>
    <n v="29"/>
    <x v="2"/>
    <n v="1742.24"/>
    <n v="2070.52"/>
    <s v="New"/>
    <n v="0.12"/>
    <s v="Cash"/>
    <s v="Online"/>
    <s v="East-David"/>
    <n v="50524.959999999999"/>
    <n v="60045.08"/>
    <n v="9520.1200000000026"/>
  </r>
  <r>
    <d v="2023-07-14T00:00:00"/>
    <s v="Bob"/>
    <s v="East"/>
    <n v="3407.09"/>
    <n v="39"/>
    <x v="2"/>
    <n v="4929.7299999999996"/>
    <n v="5088.0199999999904"/>
    <s v="New"/>
    <n v="0.23"/>
    <s v="Bank Transfer"/>
    <s v="Retail"/>
    <s v="East-Bob"/>
    <n v="192259.46999999997"/>
    <n v="198432.77999999962"/>
    <n v="6173.3099999996484"/>
  </r>
  <r>
    <d v="2023-04-29T00:00:00"/>
    <s v="Alice"/>
    <s v="North"/>
    <n v="7353.72"/>
    <n v="34"/>
    <x v="1"/>
    <n v="4201.1099999999997"/>
    <n v="4436.5"/>
    <s v="New"/>
    <n v="0.05"/>
    <s v="Cash"/>
    <s v="Online"/>
    <s v="North-Alice"/>
    <n v="142837.74"/>
    <n v="150841"/>
    <n v="8003.2600000000093"/>
  </r>
  <r>
    <d v="2023-01-20T00:00:00"/>
    <s v="Eve"/>
    <s v="East"/>
    <n v="4104.82"/>
    <n v="43"/>
    <x v="2"/>
    <n v="4052.42"/>
    <n v="4199.3"/>
    <s v="New"/>
    <n v="0.1"/>
    <s v="Bank Transfer"/>
    <s v="Retail"/>
    <s v="East-Eve"/>
    <n v="174254.06"/>
    <n v="180569.9"/>
    <n v="6315.8399999999965"/>
  </r>
  <r>
    <d v="2023-09-18T00:00:00"/>
    <s v="David"/>
    <s v="West"/>
    <n v="776.7"/>
    <n v="45"/>
    <x v="0"/>
    <n v="1623.63"/>
    <n v="1814.63"/>
    <s v="New"/>
    <n v="0.28999999999999998"/>
    <s v="Bank Transfer"/>
    <s v="Retail"/>
    <s v="West-David"/>
    <n v="73063.350000000006"/>
    <n v="81658.350000000006"/>
    <n v="8595"/>
  </r>
  <r>
    <d v="2023-10-20T00:00:00"/>
    <s v="David"/>
    <s v="South"/>
    <n v="7859.22"/>
    <n v="23"/>
    <x v="2"/>
    <n v="93.45"/>
    <n v="181.62"/>
    <s v="Returning"/>
    <n v="0.3"/>
    <s v="Bank Transfer"/>
    <s v="Retail"/>
    <s v="South-David"/>
    <n v="2149.35"/>
    <n v="4177.26"/>
    <n v="2027.9100000000003"/>
  </r>
  <r>
    <d v="2023-09-13T00:00:00"/>
    <s v="Bob"/>
    <s v="South"/>
    <n v="2929.01"/>
    <n v="5"/>
    <x v="0"/>
    <n v="1941.56"/>
    <n v="2385.48"/>
    <s v="Returning"/>
    <n v="0.15"/>
    <s v="Credit Card"/>
    <s v="Online"/>
    <s v="South-Bob"/>
    <n v="9707.7999999999993"/>
    <n v="11927.4"/>
    <n v="2219.6000000000004"/>
  </r>
  <r>
    <d v="2023-08-10T00:00:00"/>
    <s v="Eve"/>
    <s v="South"/>
    <n v="4384.3900000000003"/>
    <n v="30"/>
    <x v="1"/>
    <n v="1543.96"/>
    <n v="1558.87"/>
    <s v="Returning"/>
    <n v="0.28000000000000003"/>
    <s v="Credit Card"/>
    <s v="Online"/>
    <s v="South-Eve"/>
    <n v="46318.8"/>
    <n v="46766.1"/>
    <n v="447.29999999999563"/>
  </r>
  <r>
    <d v="2023-08-14T00:00:00"/>
    <s v="David"/>
    <s v="West"/>
    <n v="6885.89"/>
    <n v="6"/>
    <x v="1"/>
    <n v="235.12"/>
    <n v="677.5"/>
    <s v="Returning"/>
    <n v="0.16"/>
    <s v="Credit Card"/>
    <s v="Online"/>
    <s v="West-David"/>
    <n v="1410.72"/>
    <n v="4065"/>
    <n v="2654.2799999999997"/>
  </r>
  <r>
    <d v="2023-02-22T00:00:00"/>
    <s v="Alice"/>
    <s v="South"/>
    <n v="3391.32"/>
    <n v="46"/>
    <x v="2"/>
    <n v="2551.56"/>
    <n v="2841.68"/>
    <s v="New"/>
    <n v="0.09"/>
    <s v="Bank Transfer"/>
    <s v="Retail"/>
    <s v="South-Alice"/>
    <n v="117371.76"/>
    <n v="130717.28"/>
    <n v="13345.520000000004"/>
  </r>
  <r>
    <d v="2023-12-21T00:00:00"/>
    <s v="Bob"/>
    <s v="North"/>
    <n v="660.2"/>
    <n v="44"/>
    <x v="0"/>
    <n v="2045"/>
    <n v="2217.5100000000002"/>
    <s v="Returning"/>
    <n v="0.08"/>
    <s v="Credit Card"/>
    <s v="Online"/>
    <s v="North-Bob"/>
    <n v="89980"/>
    <n v="97570.44"/>
    <n v="7590.4400000000023"/>
  </r>
  <r>
    <d v="2023-12-08T00:00:00"/>
    <s v="Eve"/>
    <s v="East"/>
    <n v="3801.82"/>
    <n v="4"/>
    <x v="2"/>
    <n v="3191.05"/>
    <n v="3555.35"/>
    <s v="New"/>
    <n v="0.28000000000000003"/>
    <s v="Credit Card"/>
    <s v="Online"/>
    <s v="East-Eve"/>
    <n v="12764.2"/>
    <n v="14221.4"/>
    <n v="1457.1999999999989"/>
  </r>
  <r>
    <d v="2023-12-30T00:00:00"/>
    <s v="Bob"/>
    <s v="West"/>
    <n v="9450.0400000000009"/>
    <n v="29"/>
    <x v="3"/>
    <n v="3124.87"/>
    <n v="3383.67"/>
    <s v="New"/>
    <n v="0.05"/>
    <s v="Credit Card"/>
    <s v="Retail"/>
    <s v="West-Bob"/>
    <n v="90621.23"/>
    <n v="98126.430000000008"/>
    <n v="7505.2000000000116"/>
  </r>
  <r>
    <d v="2023-10-07T00:00:00"/>
    <s v="Alice"/>
    <s v="South"/>
    <n v="6453.17"/>
    <n v="23"/>
    <x v="3"/>
    <n v="647.70000000000005"/>
    <n v="902.26"/>
    <s v="New"/>
    <n v="0.17"/>
    <s v="Bank Transfer"/>
    <s v="Online"/>
    <s v="South-Alice"/>
    <n v="14897.1"/>
    <n v="20751.98"/>
    <n v="5854.8799999999992"/>
  </r>
  <r>
    <d v="2023-03-22T00:00:00"/>
    <s v="Eve"/>
    <s v="North"/>
    <n v="6747.64"/>
    <n v="6"/>
    <x v="3"/>
    <n v="4885.9799999999996"/>
    <n v="4949.95"/>
    <s v="Returning"/>
    <n v="0.17"/>
    <s v="Bank Transfer"/>
    <s v="Online"/>
    <s v="North-Eve"/>
    <n v="29315.879999999997"/>
    <n v="29699.699999999997"/>
    <n v="383.81999999999971"/>
  </r>
  <r>
    <d v="2023-07-21T00:00:00"/>
    <s v="Bob"/>
    <s v="East"/>
    <n v="6359.59"/>
    <n v="32"/>
    <x v="3"/>
    <n v="975.31"/>
    <n v="1176.17"/>
    <s v="New"/>
    <n v="0.22"/>
    <s v="Bank Transfer"/>
    <s v="Retail"/>
    <s v="East-Bob"/>
    <n v="31209.919999999998"/>
    <n v="37637.440000000002"/>
    <n v="6427.5200000000041"/>
  </r>
  <r>
    <d v="2023-06-07T00:00:00"/>
    <s v="Charlie"/>
    <s v="East"/>
    <n v="2070.02"/>
    <n v="42"/>
    <x v="2"/>
    <n v="2254.11"/>
    <n v="2382.23"/>
    <s v="Returning"/>
    <n v="0.15"/>
    <s v="Credit Card"/>
    <s v="Retail"/>
    <s v="East-Charlie"/>
    <n v="94672.62000000001"/>
    <n v="100053.66"/>
    <n v="5381.0399999999936"/>
  </r>
  <r>
    <d v="2023-04-30T00:00:00"/>
    <s v="Alice"/>
    <s v="West"/>
    <n v="4241.51"/>
    <n v="18"/>
    <x v="3"/>
    <n v="2466.1799999999998"/>
    <n v="2483.87"/>
    <s v="Returning"/>
    <n v="0.08"/>
    <s v="Cash"/>
    <s v="Online"/>
    <s v="West-Alice"/>
    <n v="44391.24"/>
    <n v="44709.659999999996"/>
    <n v="318.41999999999825"/>
  </r>
  <r>
    <d v="2023-02-28T00:00:00"/>
    <s v="Alice"/>
    <s v="West"/>
    <n v="7534.3"/>
    <n v="15"/>
    <x v="0"/>
    <n v="4074.66"/>
    <n v="4261.1099999999997"/>
    <s v="Returning"/>
    <n v="0.05"/>
    <s v="Credit Card"/>
    <s v="Retail"/>
    <s v="West-Alice"/>
    <n v="61119.899999999994"/>
    <n v="63916.649999999994"/>
    <n v="2796.75"/>
  </r>
  <r>
    <d v="2023-08-03T00:00:00"/>
    <s v="Alice"/>
    <s v="West"/>
    <n v="1103.5899999999999"/>
    <n v="40"/>
    <x v="1"/>
    <n v="541.19000000000005"/>
    <n v="595.20000000000005"/>
    <s v="Returning"/>
    <n v="0.19"/>
    <s v="Credit Card"/>
    <s v="Online"/>
    <s v="West-Alice"/>
    <n v="21647.600000000002"/>
    <n v="23808"/>
    <n v="2160.3999999999978"/>
  </r>
  <r>
    <d v="2023-05-08T00:00:00"/>
    <s v="Charlie"/>
    <s v="North"/>
    <n v="2850.74"/>
    <n v="32"/>
    <x v="1"/>
    <n v="2171.79"/>
    <n v="2307.64"/>
    <s v="Returning"/>
    <n v="0.22"/>
    <s v="Bank Transfer"/>
    <s v="Online"/>
    <s v="North-Charlie"/>
    <n v="69497.279999999999"/>
    <n v="73844.479999999996"/>
    <n v="4347.1999999999971"/>
  </r>
  <r>
    <d v="2023-08-12T00:00:00"/>
    <s v="Charlie"/>
    <s v="North"/>
    <n v="2835.56"/>
    <n v="9"/>
    <x v="3"/>
    <n v="3161.09"/>
    <n v="3216.42"/>
    <s v="New"/>
    <n v="0.17"/>
    <s v="Bank Transfer"/>
    <s v="Online"/>
    <s v="North-Charlie"/>
    <n v="28449.81"/>
    <n v="28947.78"/>
    <n v="497.96999999999753"/>
  </r>
  <r>
    <d v="2023-07-28T00:00:00"/>
    <s v="David"/>
    <s v="West"/>
    <n v="4376.99"/>
    <n v="37"/>
    <x v="3"/>
    <n v="1115.02"/>
    <n v="1174.48"/>
    <s v="New"/>
    <n v="0.22"/>
    <s v="Credit Card"/>
    <s v="Online"/>
    <s v="West-David"/>
    <n v="41255.74"/>
    <n v="43455.76"/>
    <n v="2200.0200000000041"/>
  </r>
  <r>
    <d v="2023-04-25T00:00:00"/>
    <s v="Bob"/>
    <s v="South"/>
    <n v="9805.65"/>
    <n v="10"/>
    <x v="3"/>
    <n v="3155.97"/>
    <n v="3263.49"/>
    <s v="Returning"/>
    <n v="0.04"/>
    <s v="Credit Card"/>
    <s v="Online"/>
    <s v="South-Bob"/>
    <n v="31559.699999999997"/>
    <n v="32634.899999999998"/>
    <n v="1075.2000000000007"/>
  </r>
  <r>
    <d v="2023-07-28T00:00:00"/>
    <s v="David"/>
    <s v="East"/>
    <n v="768.28"/>
    <n v="20"/>
    <x v="2"/>
    <n v="4622.1400000000003"/>
    <n v="5122.07"/>
    <s v="New"/>
    <n v="0.26"/>
    <s v="Cash"/>
    <s v="Retail"/>
    <s v="East-David"/>
    <n v="92442.8"/>
    <n v="102441.4"/>
    <n v="9998.5999999999913"/>
  </r>
  <r>
    <d v="2023-01-14T00:00:00"/>
    <s v="Bob"/>
    <s v="East"/>
    <n v="5235.1400000000003"/>
    <n v="6"/>
    <x v="1"/>
    <n v="4987.71"/>
    <n v="4998.78"/>
    <s v="Returning"/>
    <n v="0.17"/>
    <s v="Cash"/>
    <s v="Retail"/>
    <s v="East-Bob"/>
    <n v="29926.260000000002"/>
    <n v="29992.68"/>
    <n v="66.419999999998254"/>
  </r>
  <r>
    <d v="2023-01-09T00:00:00"/>
    <s v="Charlie"/>
    <s v="North"/>
    <n v="1875.71"/>
    <n v="48"/>
    <x v="3"/>
    <n v="210.63"/>
    <n v="533.57999999999902"/>
    <s v="New"/>
    <n v="0.04"/>
    <s v="Bank Transfer"/>
    <s v="Online"/>
    <s v="North-Charlie"/>
    <n v="10110.24"/>
    <n v="25611.839999999953"/>
    <n v="15501.599999999953"/>
  </r>
  <r>
    <d v="2023-02-09T00:00:00"/>
    <s v="Charlie"/>
    <s v="East"/>
    <n v="9709.7000000000007"/>
    <n v="3"/>
    <x v="0"/>
    <n v="1216.1600000000001"/>
    <n v="1295.3699999999999"/>
    <s v="New"/>
    <n v="0.14000000000000001"/>
    <s v="Cash"/>
    <s v="Retail"/>
    <s v="East-Charlie"/>
    <n v="3648.4800000000005"/>
    <n v="3886.1099999999997"/>
    <n v="237.6299999999992"/>
  </r>
  <r>
    <d v="2023-08-25T00:00:00"/>
    <s v="David"/>
    <s v="South"/>
    <n v="1221.7"/>
    <n v="42"/>
    <x v="3"/>
    <n v="1586.02"/>
    <n v="2047.13"/>
    <s v="New"/>
    <n v="0.25"/>
    <s v="Cash"/>
    <s v="Retail"/>
    <s v="South-David"/>
    <n v="66612.84"/>
    <n v="85979.46"/>
    <n v="19366.62000000001"/>
  </r>
  <r>
    <d v="2023-10-08T00:00:00"/>
    <s v="Eve"/>
    <s v="East"/>
    <n v="4095.65"/>
    <n v="11"/>
    <x v="1"/>
    <n v="2025.67"/>
    <n v="2081.5500000000002"/>
    <s v="New"/>
    <n v="0.27"/>
    <s v="Bank Transfer"/>
    <s v="Online"/>
    <s v="East-Eve"/>
    <n v="22282.370000000003"/>
    <n v="22897.050000000003"/>
    <n v="614.68000000000029"/>
  </r>
  <r>
    <d v="2023-12-25T00:00:00"/>
    <s v="David"/>
    <s v="North"/>
    <n v="7405.06"/>
    <n v="43"/>
    <x v="3"/>
    <n v="1249.17"/>
    <n v="1727.15"/>
    <s v="New"/>
    <n v="0.08"/>
    <s v="Cash"/>
    <s v="Retail"/>
    <s v="North-David"/>
    <n v="53714.310000000005"/>
    <n v="74267.45"/>
    <n v="20553.139999999992"/>
  </r>
  <r>
    <d v="2023-07-20T00:00:00"/>
    <s v="Bob"/>
    <s v="North"/>
    <n v="7075.09"/>
    <n v="17"/>
    <x v="1"/>
    <n v="1057.27"/>
    <n v="1366.62"/>
    <s v="New"/>
    <n v="0.21"/>
    <s v="Credit Card"/>
    <s v="Retail"/>
    <s v="North-Bob"/>
    <n v="17973.59"/>
    <n v="23232.539999999997"/>
    <n v="5258.9499999999971"/>
  </r>
  <r>
    <d v="2023-09-03T00:00:00"/>
    <s v="David"/>
    <s v="South"/>
    <n v="4285.01"/>
    <n v="32"/>
    <x v="3"/>
    <n v="4775.04"/>
    <n v="4785.66"/>
    <s v="New"/>
    <n v="0.03"/>
    <s v="Cash"/>
    <s v="Online"/>
    <s v="South-David"/>
    <n v="152801.28"/>
    <n v="153141.12"/>
    <n v="339.83999999999651"/>
  </r>
  <r>
    <d v="2023-10-05T00:00:00"/>
    <s v="Alice"/>
    <s v="South"/>
    <n v="3530.59"/>
    <n v="4"/>
    <x v="0"/>
    <n v="4596.68"/>
    <n v="5044.74"/>
    <s v="New"/>
    <n v="0.01"/>
    <s v="Bank Transfer"/>
    <s v="Online"/>
    <s v="South-Alice"/>
    <n v="18386.72"/>
    <n v="20178.96"/>
    <n v="1792.239999999998"/>
  </r>
  <r>
    <d v="2023-08-23T00:00:00"/>
    <s v="Bob"/>
    <s v="East"/>
    <n v="4036.36"/>
    <n v="4"/>
    <x v="3"/>
    <n v="282.61"/>
    <n v="548.25"/>
    <s v="New"/>
    <n v="0.17"/>
    <s v="Credit Card"/>
    <s v="Online"/>
    <s v="East-Bob"/>
    <n v="1130.44"/>
    <n v="2193"/>
    <n v="1062.56"/>
  </r>
  <r>
    <d v="2023-01-04T00:00:00"/>
    <s v="Bob"/>
    <s v="East"/>
    <n v="2716.34"/>
    <n v="17"/>
    <x v="0"/>
    <n v="1727.12"/>
    <n v="1865.83"/>
    <s v="New"/>
    <n v="0.21"/>
    <s v="Cash"/>
    <s v="Online"/>
    <s v="East-Bob"/>
    <n v="29361.039999999997"/>
    <n v="31719.11"/>
    <n v="2358.0700000000033"/>
  </r>
  <r>
    <d v="2023-06-03T00:00:00"/>
    <s v="Eve"/>
    <s v="North"/>
    <n v="2132.8000000000002"/>
    <n v="41"/>
    <x v="0"/>
    <n v="2055.4899999999998"/>
    <n v="2441.46"/>
    <s v="New"/>
    <n v="0.24"/>
    <s v="Credit Card"/>
    <s v="Online"/>
    <s v="North-Eve"/>
    <n v="84275.09"/>
    <n v="100099.86"/>
    <n v="15824.770000000004"/>
  </r>
  <r>
    <d v="2023-01-29T00:00:00"/>
    <s v="Charlie"/>
    <s v="South"/>
    <n v="4882.09"/>
    <n v="19"/>
    <x v="3"/>
    <n v="1233.1199999999999"/>
    <n v="1697.1899999999901"/>
    <s v="New"/>
    <n v="0.1"/>
    <s v="Credit Card"/>
    <s v="Online"/>
    <s v="South-Charlie"/>
    <n v="23429.279999999999"/>
    <n v="32246.609999999811"/>
    <n v="8817.3299999998126"/>
  </r>
  <r>
    <d v="2023-04-19T00:00:00"/>
    <s v="Bob"/>
    <s v="South"/>
    <n v="2758.48"/>
    <n v="5"/>
    <x v="0"/>
    <n v="3162.92"/>
    <n v="3409.93"/>
    <s v="New"/>
    <n v="0"/>
    <s v="Cash"/>
    <s v="Online"/>
    <s v="South-Bob"/>
    <n v="15814.6"/>
    <n v="17049.649999999998"/>
    <n v="1235.0499999999975"/>
  </r>
  <r>
    <d v="2023-04-08T00:00:00"/>
    <s v="Charlie"/>
    <s v="South"/>
    <n v="2945.87"/>
    <n v="32"/>
    <x v="2"/>
    <n v="3219.88"/>
    <n v="3384.5"/>
    <s v="Returning"/>
    <n v="0.14000000000000001"/>
    <s v="Cash"/>
    <s v="Retail"/>
    <s v="South-Charlie"/>
    <n v="103036.16"/>
    <n v="108304"/>
    <n v="5267.8399999999965"/>
  </r>
  <r>
    <d v="2023-08-03T00:00:00"/>
    <s v="David"/>
    <s v="East"/>
    <n v="6601.89"/>
    <n v="22"/>
    <x v="3"/>
    <n v="4260"/>
    <n v="4656.58"/>
    <s v="New"/>
    <n v="0"/>
    <s v="Bank Transfer"/>
    <s v="Online"/>
    <s v="East-David"/>
    <n v="93720"/>
    <n v="102444.76"/>
    <n v="8724.7599999999948"/>
  </r>
  <r>
    <d v="2023-10-20T00:00:00"/>
    <s v="Alice"/>
    <s v="South"/>
    <n v="9688.52"/>
    <n v="6"/>
    <x v="3"/>
    <n v="3717.3"/>
    <n v="4061.37"/>
    <s v="New"/>
    <n v="0.03"/>
    <s v="Bank Transfer"/>
    <s v="Retail"/>
    <s v="South-Alice"/>
    <n v="22303.800000000003"/>
    <n v="24368.22"/>
    <n v="2064.4199999999983"/>
  </r>
  <r>
    <d v="2023-03-16T00:00:00"/>
    <s v="Eve"/>
    <s v="North"/>
    <n v="6076.01"/>
    <n v="35"/>
    <x v="0"/>
    <n v="2735.74"/>
    <n v="3181.22999999999"/>
    <s v="New"/>
    <n v="0.1"/>
    <s v="Credit Card"/>
    <s v="Retail"/>
    <s v="North-Eve"/>
    <n v="95750.9"/>
    <n v="111343.04999999965"/>
    <n v="15592.149999999659"/>
  </r>
  <r>
    <d v="2023-11-22T00:00:00"/>
    <s v="Charlie"/>
    <s v="North"/>
    <n v="862.1"/>
    <n v="22"/>
    <x v="0"/>
    <n v="3285.25"/>
    <n v="3634.58"/>
    <s v="New"/>
    <n v="0.13"/>
    <s v="Bank Transfer"/>
    <s v="Online"/>
    <s v="North-Charlie"/>
    <n v="72275.5"/>
    <n v="79960.759999999995"/>
    <n v="7685.2599999999948"/>
  </r>
  <r>
    <d v="2023-05-26T00:00:00"/>
    <s v="Bob"/>
    <s v="East"/>
    <n v="848.28"/>
    <n v="1"/>
    <x v="3"/>
    <n v="1406.24"/>
    <n v="1535.57"/>
    <s v="New"/>
    <n v="0.08"/>
    <s v="Credit Card"/>
    <s v="Retail"/>
    <s v="East-Bob"/>
    <n v="1406.24"/>
    <n v="1535.57"/>
    <n v="129.32999999999993"/>
  </r>
  <r>
    <d v="2023-05-08T00:00:00"/>
    <s v="Charlie"/>
    <s v="West"/>
    <n v="9519.09"/>
    <n v="20"/>
    <x v="2"/>
    <n v="2985.63"/>
    <n v="3452.14"/>
    <s v="New"/>
    <n v="0.17"/>
    <s v="Credit Card"/>
    <s v="Retail"/>
    <s v="West-Charlie"/>
    <n v="59712.600000000006"/>
    <n v="69042.8"/>
    <n v="9330.1999999999971"/>
  </r>
  <r>
    <d v="2023-12-07T00:00:00"/>
    <s v="Bob"/>
    <s v="East"/>
    <n v="3043.18"/>
    <n v="22"/>
    <x v="0"/>
    <n v="2471.67"/>
    <n v="2533.04"/>
    <s v="Returning"/>
    <n v="0.02"/>
    <s v="Bank Transfer"/>
    <s v="Retail"/>
    <s v="East-Bob"/>
    <n v="54376.740000000005"/>
    <n v="55726.879999999997"/>
    <n v="1350.1399999999921"/>
  </r>
  <r>
    <d v="2023-02-11T00:00:00"/>
    <s v="Charlie"/>
    <s v="West"/>
    <n v="1011.46"/>
    <n v="48"/>
    <x v="0"/>
    <n v="710.06"/>
    <n v="851.349999999999"/>
    <s v="Returning"/>
    <n v="0.04"/>
    <s v="Bank Transfer"/>
    <s v="Online"/>
    <s v="West-Charlie"/>
    <n v="34082.879999999997"/>
    <n v="40864.799999999952"/>
    <n v="6781.9199999999546"/>
  </r>
  <r>
    <d v="2023-12-22T00:00:00"/>
    <s v="Bob"/>
    <s v="South"/>
    <n v="6030.54"/>
    <n v="11"/>
    <x v="1"/>
    <n v="1250.5899999999999"/>
    <n v="1515.48999999999"/>
    <s v="Returning"/>
    <n v="0.21"/>
    <s v="Bank Transfer"/>
    <s v="Retail"/>
    <s v="South-Bob"/>
    <n v="13756.49"/>
    <n v="16670.38999999989"/>
    <n v="2913.8999999998905"/>
  </r>
  <r>
    <d v="2023-02-10T00:00:00"/>
    <s v="David"/>
    <s v="East"/>
    <n v="6274.12"/>
    <n v="13"/>
    <x v="2"/>
    <n v="1493.88"/>
    <n v="1781.09"/>
    <s v="New"/>
    <n v="0.04"/>
    <s v="Cash"/>
    <s v="Retail"/>
    <s v="East-David"/>
    <n v="19420.440000000002"/>
    <n v="23154.17"/>
    <n v="3733.7299999999959"/>
  </r>
  <r>
    <d v="2023-02-03T00:00:00"/>
    <s v="Bob"/>
    <s v="North"/>
    <n v="6520.2"/>
    <n v="42"/>
    <x v="2"/>
    <n v="4625.33"/>
    <n v="4642.83"/>
    <s v="New"/>
    <n v="0.19"/>
    <s v="Credit Card"/>
    <s v="Online"/>
    <s v="North-Bob"/>
    <n v="194263.86"/>
    <n v="194998.86"/>
    <n v="735"/>
  </r>
  <r>
    <d v="2023-01-17T00:00:00"/>
    <s v="Bob"/>
    <s v="South"/>
    <n v="2747.28"/>
    <n v="3"/>
    <x v="3"/>
    <n v="1190.4100000000001"/>
    <n v="1582.89"/>
    <s v="New"/>
    <n v="0.02"/>
    <s v="Credit Card"/>
    <s v="Retail"/>
    <s v="South-Bob"/>
    <n v="3571.2300000000005"/>
    <n v="4748.67"/>
    <n v="1177.4399999999996"/>
  </r>
  <r>
    <d v="2023-06-14T00:00:00"/>
    <s v="Alice"/>
    <s v="North"/>
    <n v="249.6"/>
    <n v="9"/>
    <x v="2"/>
    <n v="1481.76"/>
    <n v="1668.95"/>
    <s v="Returning"/>
    <n v="0.12"/>
    <s v="Credit Card"/>
    <s v="Retail"/>
    <s v="North-Alice"/>
    <n v="13335.84"/>
    <n v="15020.550000000001"/>
    <n v="1684.7100000000009"/>
  </r>
  <r>
    <d v="2023-06-02T00:00:00"/>
    <s v="Bob"/>
    <s v="South"/>
    <n v="9653.65"/>
    <n v="12"/>
    <x v="3"/>
    <n v="1878.3"/>
    <n v="2087.4499999999998"/>
    <s v="New"/>
    <n v="0.05"/>
    <s v="Bank Transfer"/>
    <s v="Retail"/>
    <s v="South-Bob"/>
    <n v="22539.599999999999"/>
    <n v="25049.399999999998"/>
    <n v="2509.7999999999993"/>
  </r>
  <r>
    <d v="2023-03-17T00:00:00"/>
    <s v="Alice"/>
    <s v="East"/>
    <n v="2583.84"/>
    <n v="23"/>
    <x v="1"/>
    <n v="3335.53"/>
    <n v="3742.12"/>
    <s v="New"/>
    <n v="0.03"/>
    <s v="Bank Transfer"/>
    <s v="Retail"/>
    <s v="East-Alice"/>
    <n v="76717.19"/>
    <n v="86068.76"/>
    <n v="9351.5699999999924"/>
  </r>
  <r>
    <d v="2023-03-28T00:00:00"/>
    <s v="Eve"/>
    <s v="West"/>
    <n v="6792.66"/>
    <n v="14"/>
    <x v="2"/>
    <n v="635.28"/>
    <n v="831.13"/>
    <s v="Returning"/>
    <n v="0.17"/>
    <s v="Bank Transfer"/>
    <s v="Retail"/>
    <s v="West-Eve"/>
    <n v="8893.92"/>
    <n v="11635.82"/>
    <n v="2741.8999999999996"/>
  </r>
  <r>
    <d v="2023-04-27T00:00:00"/>
    <s v="Alice"/>
    <s v="South"/>
    <n v="7095.64"/>
    <n v="33"/>
    <x v="0"/>
    <n v="4772.03"/>
    <n v="4805.17"/>
    <s v="Returning"/>
    <n v="0.28000000000000003"/>
    <s v="Bank Transfer"/>
    <s v="Online"/>
    <s v="South-Alice"/>
    <n v="157476.99"/>
    <n v="158570.61000000002"/>
    <n v="1093.6200000000244"/>
  </r>
  <r>
    <d v="2023-12-28T00:00:00"/>
    <s v="David"/>
    <s v="West"/>
    <n v="6139.07"/>
    <n v="18"/>
    <x v="1"/>
    <n v="4334.58"/>
    <n v="4431.04"/>
    <s v="New"/>
    <n v="0.02"/>
    <s v="Bank Transfer"/>
    <s v="Retail"/>
    <s v="West-David"/>
    <n v="78022.44"/>
    <n v="79758.720000000001"/>
    <n v="1736.2799999999988"/>
  </r>
  <r>
    <d v="2023-12-08T00:00:00"/>
    <s v="Alice"/>
    <s v="South"/>
    <n v="3197.78"/>
    <n v="49"/>
    <x v="3"/>
    <n v="2907.22"/>
    <n v="3385.6099999999901"/>
    <s v="New"/>
    <n v="0.13"/>
    <s v="Cash"/>
    <s v="Online"/>
    <s v="South-Alice"/>
    <n v="142453.78"/>
    <n v="165894.88999999952"/>
    <n v="23441.10999999952"/>
  </r>
  <r>
    <d v="2023-01-27T00:00:00"/>
    <s v="Eve"/>
    <s v="North"/>
    <n v="2783.85"/>
    <n v="41"/>
    <x v="1"/>
    <n v="3386.49"/>
    <n v="3430.99"/>
    <s v="New"/>
    <n v="0.21"/>
    <s v="Bank Transfer"/>
    <s v="Retail"/>
    <s v="North-Eve"/>
    <n v="138846.09"/>
    <n v="140670.59"/>
    <n v="1824.5"/>
  </r>
  <r>
    <d v="2023-11-09T00:00:00"/>
    <s v="David"/>
    <s v="North"/>
    <n v="6016.92"/>
    <n v="9"/>
    <x v="3"/>
    <n v="132.47"/>
    <n v="316.39"/>
    <s v="New"/>
    <n v="0.14000000000000001"/>
    <s v="Credit Card"/>
    <s v="Online"/>
    <s v="North-David"/>
    <n v="1192.23"/>
    <n v="2847.5099999999998"/>
    <n v="1655.2799999999997"/>
  </r>
  <r>
    <d v="2023-10-14T00:00:00"/>
    <s v="Charlie"/>
    <s v="South"/>
    <n v="8674.35"/>
    <n v="23"/>
    <x v="1"/>
    <n v="1727.78"/>
    <n v="1984.34"/>
    <s v="Returning"/>
    <n v="0.24"/>
    <s v="Bank Transfer"/>
    <s v="Online"/>
    <s v="South-Charlie"/>
    <n v="39738.94"/>
    <n v="45639.82"/>
    <n v="5900.8799999999974"/>
  </r>
  <r>
    <d v="2023-05-14T00:00:00"/>
    <s v="Charlie"/>
    <s v="West"/>
    <n v="9472.66"/>
    <n v="10"/>
    <x v="3"/>
    <n v="3988.52"/>
    <n v="4240.2299999999996"/>
    <s v="New"/>
    <n v="0.05"/>
    <s v="Credit Card"/>
    <s v="Online"/>
    <s v="West-Charlie"/>
    <n v="39885.199999999997"/>
    <n v="42402.299999999996"/>
    <n v="2517.0999999999985"/>
  </r>
  <r>
    <d v="2023-08-07T00:00:00"/>
    <s v="Alice"/>
    <s v="East"/>
    <n v="1148.47"/>
    <n v="19"/>
    <x v="2"/>
    <n v="433.54"/>
    <n v="445.48"/>
    <s v="New"/>
    <n v="0.28999999999999998"/>
    <s v="Bank Transfer"/>
    <s v="Retail"/>
    <s v="East-Alice"/>
    <n v="8237.26"/>
    <n v="8464.1200000000008"/>
    <n v="226.86000000000058"/>
  </r>
  <r>
    <d v="2023-06-17T00:00:00"/>
    <s v="Alice"/>
    <s v="East"/>
    <n v="1632.8"/>
    <n v="47"/>
    <x v="0"/>
    <n v="1447.45"/>
    <n v="1703.02"/>
    <s v="Returning"/>
    <n v="0.12"/>
    <s v="Bank Transfer"/>
    <s v="Retail"/>
    <s v="East-Alice"/>
    <n v="68030.150000000009"/>
    <n v="80041.94"/>
    <n v="12011.789999999994"/>
  </r>
  <r>
    <d v="2023-04-08T00:00:00"/>
    <s v="Eve"/>
    <s v="North"/>
    <n v="9452.89"/>
    <n v="5"/>
    <x v="3"/>
    <n v="2947.22"/>
    <n v="3145.27"/>
    <s v="New"/>
    <n v="0.1"/>
    <s v="Credit Card"/>
    <s v="Retail"/>
    <s v="North-Eve"/>
    <n v="14736.099999999999"/>
    <n v="15726.35"/>
    <n v="990.25000000000182"/>
  </r>
  <r>
    <d v="2023-09-25T00:00:00"/>
    <s v="Eve"/>
    <s v="East"/>
    <n v="7391.7"/>
    <n v="47"/>
    <x v="1"/>
    <n v="1319.24"/>
    <n v="1805.56"/>
    <s v="New"/>
    <n v="0.26"/>
    <s v="Credit Card"/>
    <s v="Retail"/>
    <s v="East-Eve"/>
    <n v="62004.28"/>
    <n v="84861.319999999992"/>
    <n v="22857.039999999994"/>
  </r>
  <r>
    <d v="2023-08-25T00:00:00"/>
    <s v="Bob"/>
    <s v="North"/>
    <n v="8841.64"/>
    <n v="23"/>
    <x v="3"/>
    <n v="4673.1899999999996"/>
    <n v="4761.1799999999903"/>
    <s v="Returning"/>
    <n v="0.17"/>
    <s v="Credit Card"/>
    <s v="Retail"/>
    <s v="North-Bob"/>
    <n v="107483.37"/>
    <n v="109507.13999999978"/>
    <n v="2023.7699999997858"/>
  </r>
  <r>
    <d v="2023-11-05T00:00:00"/>
    <s v="Eve"/>
    <s v="East"/>
    <n v="2106.06"/>
    <n v="30"/>
    <x v="3"/>
    <n v="698.74"/>
    <n v="882.28"/>
    <s v="Returning"/>
    <n v="0.15"/>
    <s v="Credit Card"/>
    <s v="Online"/>
    <s v="East-Eve"/>
    <n v="20962.2"/>
    <n v="26468.399999999998"/>
    <n v="5506.1999999999971"/>
  </r>
  <r>
    <d v="2023-06-22T00:00:00"/>
    <s v="Bob"/>
    <s v="South"/>
    <n v="5917.1"/>
    <n v="25"/>
    <x v="3"/>
    <n v="3997.1"/>
    <n v="4212.6499999999996"/>
    <s v="New"/>
    <n v="0.22"/>
    <s v="Cash"/>
    <s v="Online"/>
    <s v="South-Bob"/>
    <n v="99927.5"/>
    <n v="105316.24999999999"/>
    <n v="5388.7499999999854"/>
  </r>
  <r>
    <d v="2023-07-09T00:00:00"/>
    <s v="David"/>
    <s v="North"/>
    <n v="7041.28"/>
    <n v="28"/>
    <x v="1"/>
    <n v="2564.35"/>
    <n v="2765.79"/>
    <s v="Returning"/>
    <n v="0.17"/>
    <s v="Credit Card"/>
    <s v="Online"/>
    <s v="North-David"/>
    <n v="71801.8"/>
    <n v="77442.12"/>
    <n v="5640.3199999999924"/>
  </r>
  <r>
    <d v="2023-05-02T00:00:00"/>
    <s v="Alice"/>
    <s v="North"/>
    <n v="6833.11"/>
    <n v="34"/>
    <x v="0"/>
    <n v="3764.14"/>
    <n v="4100.3999999999996"/>
    <s v="Returning"/>
    <n v="0.05"/>
    <s v="Bank Transfer"/>
    <s v="Retail"/>
    <s v="North-Alice"/>
    <n v="127980.76"/>
    <n v="139413.59999999998"/>
    <n v="11432.839999999982"/>
  </r>
  <r>
    <d v="2023-02-15T00:00:00"/>
    <s v="David"/>
    <s v="South"/>
    <n v="4140.7"/>
    <n v="45"/>
    <x v="2"/>
    <n v="1588.04"/>
    <n v="1703.6399999999901"/>
    <s v="New"/>
    <n v="0.2"/>
    <s v="Bank Transfer"/>
    <s v="Retail"/>
    <s v="South-David"/>
    <n v="71461.8"/>
    <n v="76663.799999999552"/>
    <n v="5201.9999999995489"/>
  </r>
  <r>
    <d v="2023-03-05T00:00:00"/>
    <s v="Eve"/>
    <s v="North"/>
    <n v="252.41"/>
    <n v="48"/>
    <x v="0"/>
    <n v="2596.7199999999998"/>
    <n v="2715.0499999999902"/>
    <s v="Returning"/>
    <n v="0.04"/>
    <s v="Cash"/>
    <s v="Online"/>
    <s v="North-Eve"/>
    <n v="124642.56"/>
    <n v="130322.39999999953"/>
    <n v="5679.8399999995308"/>
  </r>
  <r>
    <d v="2023-05-10T00:00:00"/>
    <s v="David"/>
    <s v="East"/>
    <n v="5870.97"/>
    <n v="47"/>
    <x v="3"/>
    <n v="4291.33"/>
    <n v="4658.6400000000003"/>
    <s v="New"/>
    <n v="0.24"/>
    <s v="Credit Card"/>
    <s v="Retail"/>
    <s v="East-David"/>
    <n v="201692.51"/>
    <n v="218956.08000000002"/>
    <n v="17263.570000000007"/>
  </r>
  <r>
    <d v="2023-11-06T00:00:00"/>
    <s v="David"/>
    <s v="East"/>
    <n v="2605.71"/>
    <n v="25"/>
    <x v="1"/>
    <n v="2361.0500000000002"/>
    <n v="2616.19"/>
    <s v="New"/>
    <n v="0.3"/>
    <s v="Bank Transfer"/>
    <s v="Retail"/>
    <s v="East-David"/>
    <n v="59026.250000000007"/>
    <n v="65404.75"/>
    <n v="6378.4999999999927"/>
  </r>
  <r>
    <d v="2023-12-29T00:00:00"/>
    <s v="David"/>
    <s v="North"/>
    <n v="4557.5200000000004"/>
    <n v="10"/>
    <x v="0"/>
    <n v="1830.61"/>
    <n v="2044.04"/>
    <s v="New"/>
    <n v="0.11"/>
    <s v="Cash"/>
    <s v="Online"/>
    <s v="North-David"/>
    <n v="18306.099999999999"/>
    <n v="20440.400000000001"/>
    <n v="2134.3000000000029"/>
  </r>
  <r>
    <d v="2023-07-12T00:00:00"/>
    <s v="Eve"/>
    <s v="East"/>
    <n v="9580.0499999999993"/>
    <n v="14"/>
    <x v="3"/>
    <n v="2703.97"/>
    <n v="2796.8799999999901"/>
    <s v="New"/>
    <n v="0.13"/>
    <s v="Bank Transfer"/>
    <s v="Online"/>
    <s v="East-Eve"/>
    <n v="37855.579999999994"/>
    <n v="39156.319999999861"/>
    <n v="1300.739999999867"/>
  </r>
  <r>
    <d v="2023-11-03T00:00:00"/>
    <s v="David"/>
    <s v="West"/>
    <n v="4050.45"/>
    <n v="42"/>
    <x v="2"/>
    <n v="3600.95"/>
    <n v="3702.8399999999901"/>
    <s v="Returning"/>
    <n v="0.01"/>
    <s v="Cash"/>
    <s v="Retail"/>
    <s v="West-David"/>
    <n v="151239.9"/>
    <n v="155519.27999999959"/>
    <n v="4279.3799999995972"/>
  </r>
  <r>
    <d v="2023-06-30T00:00:00"/>
    <s v="Bob"/>
    <s v="North"/>
    <n v="8414.0400000000009"/>
    <n v="46"/>
    <x v="2"/>
    <n v="2245.64"/>
    <n v="2260.81"/>
    <s v="New"/>
    <n v="0"/>
    <s v="Cash"/>
    <s v="Retail"/>
    <s v="North-Bob"/>
    <n v="103299.43999999999"/>
    <n v="103997.26"/>
    <n v="697.82000000000698"/>
  </r>
  <r>
    <d v="2023-10-19T00:00:00"/>
    <s v="Eve"/>
    <s v="South"/>
    <n v="1966.55"/>
    <n v="30"/>
    <x v="2"/>
    <n v="4697.4399999999996"/>
    <n v="4752.24"/>
    <s v="New"/>
    <n v="0.28000000000000003"/>
    <s v="Credit Card"/>
    <s v="Online"/>
    <s v="South-Eve"/>
    <n v="140923.19999999998"/>
    <n v="142567.19999999998"/>
    <n v="1644"/>
  </r>
  <r>
    <d v="2023-10-09T00:00:00"/>
    <s v="David"/>
    <s v="West"/>
    <n v="6757.36"/>
    <n v="41"/>
    <x v="3"/>
    <n v="1509.98"/>
    <n v="1792.83"/>
    <s v="New"/>
    <n v="0.04"/>
    <s v="Cash"/>
    <s v="Retail"/>
    <s v="West-David"/>
    <n v="61909.18"/>
    <n v="73506.03"/>
    <n v="11596.849999999999"/>
  </r>
  <r>
    <d v="2023-01-29T00:00:00"/>
    <s v="Eve"/>
    <s v="North"/>
    <n v="9772.3700000000008"/>
    <n v="25"/>
    <x v="1"/>
    <n v="2403.54"/>
    <n v="2850.56"/>
    <s v="New"/>
    <n v="0.13"/>
    <s v="Bank Transfer"/>
    <s v="Online"/>
    <s v="North-Eve"/>
    <n v="60088.5"/>
    <n v="71264"/>
    <n v="11175.5"/>
  </r>
  <r>
    <d v="2023-05-29T00:00:00"/>
    <s v="Charlie"/>
    <s v="South"/>
    <n v="1108.74"/>
    <n v="14"/>
    <x v="0"/>
    <n v="3796.79"/>
    <n v="3947.5"/>
    <s v="Returning"/>
    <n v="0.24"/>
    <s v="Bank Transfer"/>
    <s v="Online"/>
    <s v="South-Charlie"/>
    <n v="53155.06"/>
    <n v="55265"/>
    <n v="2109.9400000000023"/>
  </r>
  <r>
    <d v="2023-09-24T00:00:00"/>
    <s v="Bob"/>
    <s v="East"/>
    <n v="182.37"/>
    <n v="35"/>
    <x v="2"/>
    <n v="3461.15"/>
    <n v="3631.75"/>
    <s v="Returning"/>
    <n v="0.27"/>
    <s v="Credit Card"/>
    <s v="Online"/>
    <s v="East-Bob"/>
    <n v="121140.25"/>
    <n v="127111.25"/>
    <n v="5971"/>
  </r>
  <r>
    <d v="2023-10-23T00:00:00"/>
    <s v="David"/>
    <s v="South"/>
    <n v="4392.47"/>
    <n v="48"/>
    <x v="3"/>
    <n v="4325.0200000000004"/>
    <n v="4391.67"/>
    <s v="Returning"/>
    <n v="0.16"/>
    <s v="Credit Card"/>
    <s v="Retail"/>
    <s v="South-David"/>
    <n v="207600.96000000002"/>
    <n v="210800.16"/>
    <n v="3199.1999999999825"/>
  </r>
  <r>
    <d v="2023-01-11T00:00:00"/>
    <s v="Charlie"/>
    <s v="West"/>
    <n v="1016.99"/>
    <n v="34"/>
    <x v="3"/>
    <n v="4984.21"/>
    <n v="5184.6400000000003"/>
    <s v="New"/>
    <n v="0.17"/>
    <s v="Cash"/>
    <s v="Online"/>
    <s v="West-Charlie"/>
    <n v="169463.14"/>
    <n v="176277.76000000001"/>
    <n v="6814.6199999999953"/>
  </r>
  <r>
    <d v="2023-06-13T00:00:00"/>
    <s v="Charlie"/>
    <s v="East"/>
    <n v="7509.01"/>
    <n v="10"/>
    <x v="0"/>
    <n v="2162.9499999999998"/>
    <n v="2191.1899999999901"/>
    <s v="Returning"/>
    <n v="0.2"/>
    <s v="Credit Card"/>
    <s v="Online"/>
    <s v="East-Charlie"/>
    <n v="21629.5"/>
    <n v="21911.8999999999"/>
    <n v="282.39999999989959"/>
  </r>
  <r>
    <d v="2023-04-23T00:00:00"/>
    <s v="Eve"/>
    <s v="North"/>
    <n v="9154.0300000000007"/>
    <n v="35"/>
    <x v="2"/>
    <n v="600.20000000000005"/>
    <n v="1059.82"/>
    <s v="Returning"/>
    <n v="0.28999999999999998"/>
    <s v="Bank Transfer"/>
    <s v="Retail"/>
    <s v="North-Eve"/>
    <n v="21007"/>
    <n v="37093.699999999997"/>
    <n v="16086.699999999997"/>
  </r>
  <r>
    <d v="2023-07-06T00:00:00"/>
    <s v="Charlie"/>
    <s v="East"/>
    <n v="4396.8100000000004"/>
    <n v="11"/>
    <x v="3"/>
    <n v="200.56"/>
    <n v="540.38"/>
    <s v="New"/>
    <n v="0.18"/>
    <s v="Bank Transfer"/>
    <s v="Online"/>
    <s v="East-Charlie"/>
    <n v="2206.16"/>
    <n v="5944.18"/>
    <n v="3738.0200000000004"/>
  </r>
  <r>
    <d v="2023-10-22T00:00:00"/>
    <s v="Bob"/>
    <s v="North"/>
    <n v="2661.25"/>
    <n v="11"/>
    <x v="0"/>
    <n v="3648.04"/>
    <n v="4143.51"/>
    <s v="Returning"/>
    <n v="0.17"/>
    <s v="Credit Card"/>
    <s v="Retail"/>
    <s v="North-Bob"/>
    <n v="40128.44"/>
    <n v="45578.61"/>
    <n v="5450.1699999999983"/>
  </r>
  <r>
    <d v="2023-08-20T00:00:00"/>
    <s v="Bob"/>
    <s v="North"/>
    <n v="4400.59"/>
    <n v="21"/>
    <x v="1"/>
    <n v="4376.37"/>
    <n v="4818.95"/>
    <s v="New"/>
    <n v="0"/>
    <s v="Credit Card"/>
    <s v="Retail"/>
    <s v="North-Bob"/>
    <n v="91903.77"/>
    <n v="101197.95"/>
    <n v="9294.179999999993"/>
  </r>
  <r>
    <d v="2023-08-15T00:00:00"/>
    <s v="Alice"/>
    <s v="South"/>
    <n v="7262.13"/>
    <n v="21"/>
    <x v="1"/>
    <n v="1142.53"/>
    <n v="1384.3"/>
    <s v="Returning"/>
    <n v="0.02"/>
    <s v="Credit Card"/>
    <s v="Retail"/>
    <s v="South-Alice"/>
    <n v="23993.13"/>
    <n v="29070.3"/>
    <n v="5077.1699999999983"/>
  </r>
  <r>
    <d v="2023-11-06T00:00:00"/>
    <s v="Bob"/>
    <s v="South"/>
    <n v="189.64"/>
    <n v="22"/>
    <x v="1"/>
    <n v="834.32"/>
    <n v="1098.97"/>
    <s v="Returning"/>
    <n v="0.17"/>
    <s v="Cash"/>
    <s v="Online"/>
    <s v="South-Bob"/>
    <n v="18355.04"/>
    <n v="24177.34"/>
    <n v="5822.2999999999993"/>
  </r>
  <r>
    <d v="2023-04-08T00:00:00"/>
    <s v="Charlie"/>
    <s v="South"/>
    <n v="5935.59"/>
    <n v="45"/>
    <x v="2"/>
    <n v="357.92"/>
    <n v="461.3"/>
    <s v="Returning"/>
    <n v="0.28000000000000003"/>
    <s v="Cash"/>
    <s v="Online"/>
    <s v="South-Charlie"/>
    <n v="16106.400000000001"/>
    <n v="20758.5"/>
    <n v="4652.0999999999985"/>
  </r>
  <r>
    <d v="2023-02-24T00:00:00"/>
    <s v="Bob"/>
    <s v="West"/>
    <n v="6171.59"/>
    <n v="7"/>
    <x v="0"/>
    <n v="4122.38"/>
    <n v="4358.78"/>
    <s v="Returning"/>
    <n v="0.26"/>
    <s v="Bank Transfer"/>
    <s v="Retail"/>
    <s v="West-Bob"/>
    <n v="28856.66"/>
    <n v="30511.46"/>
    <n v="1654.7999999999993"/>
  </r>
  <r>
    <d v="2023-04-21T00:00:00"/>
    <s v="Eve"/>
    <s v="West"/>
    <n v="6413.11"/>
    <n v="17"/>
    <x v="0"/>
    <n v="1591.34"/>
    <n v="2043.82"/>
    <s v="New"/>
    <n v="0.28999999999999998"/>
    <s v="Cash"/>
    <s v="Retail"/>
    <s v="West-Eve"/>
    <n v="27052.78"/>
    <n v="34744.94"/>
    <n v="7692.1600000000035"/>
  </r>
  <r>
    <d v="2023-06-01T00:00:00"/>
    <s v="Alice"/>
    <s v="South"/>
    <n v="2496.02"/>
    <n v="2"/>
    <x v="3"/>
    <n v="2038.4"/>
    <n v="2073.3200000000002"/>
    <s v="New"/>
    <n v="0.16"/>
    <s v="Cash"/>
    <s v="Retail"/>
    <s v="South-Alice"/>
    <n v="4076.8"/>
    <n v="4146.6400000000003"/>
    <n v="69.840000000000146"/>
  </r>
  <r>
    <d v="2023-09-03T00:00:00"/>
    <s v="Charlie"/>
    <s v="West"/>
    <n v="7169.12"/>
    <n v="12"/>
    <x v="3"/>
    <n v="2538.61"/>
    <n v="2971.75"/>
    <s v="Returning"/>
    <n v="0.24"/>
    <s v="Cash"/>
    <s v="Online"/>
    <s v="West-Charlie"/>
    <n v="30463.32"/>
    <n v="35661"/>
    <n v="5197.68"/>
  </r>
  <r>
    <d v="2023-03-10T00:00:00"/>
    <s v="Alice"/>
    <s v="East"/>
    <n v="1004.78"/>
    <n v="42"/>
    <x v="3"/>
    <n v="4205.29"/>
    <n v="4382.3500000000004"/>
    <s v="New"/>
    <n v="0.25"/>
    <s v="Cash"/>
    <s v="Retail"/>
    <s v="East-Alice"/>
    <n v="176622.18"/>
    <n v="184058.7"/>
    <n v="7436.5200000000186"/>
  </r>
  <r>
    <d v="2023-11-08T00:00:00"/>
    <s v="Charlie"/>
    <s v="East"/>
    <n v="2072.7800000000002"/>
    <n v="18"/>
    <x v="0"/>
    <n v="3271.62"/>
    <n v="3722.38"/>
    <s v="Returning"/>
    <n v="0.19"/>
    <s v="Bank Transfer"/>
    <s v="Retail"/>
    <s v="East-Charlie"/>
    <n v="58889.159999999996"/>
    <n v="67002.84"/>
    <n v="8113.68"/>
  </r>
  <r>
    <d v="2023-10-16T00:00:00"/>
    <s v="Eve"/>
    <s v="West"/>
    <n v="8786.9500000000007"/>
    <n v="11"/>
    <x v="3"/>
    <n v="3094.57"/>
    <n v="3565.6"/>
    <s v="Returning"/>
    <n v="0.1"/>
    <s v="Credit Card"/>
    <s v="Retail"/>
    <s v="West-Eve"/>
    <n v="34040.270000000004"/>
    <n v="39221.599999999999"/>
    <n v="5181.3299999999945"/>
  </r>
  <r>
    <d v="2023-09-07T00:00:00"/>
    <s v="Alice"/>
    <s v="West"/>
    <n v="7413.36"/>
    <n v="16"/>
    <x v="0"/>
    <n v="919.58"/>
    <n v="1258.3"/>
    <s v="Returning"/>
    <n v="0.14000000000000001"/>
    <s v="Bank Transfer"/>
    <s v="Online"/>
    <s v="West-Alice"/>
    <n v="14713.28"/>
    <n v="20132.8"/>
    <n v="5419.5199999999986"/>
  </r>
  <r>
    <d v="2023-02-05T00:00:00"/>
    <s v="David"/>
    <s v="East"/>
    <n v="236.08"/>
    <n v="49"/>
    <x v="0"/>
    <n v="2590.29"/>
    <n v="2925.86"/>
    <s v="Returning"/>
    <n v="0.26"/>
    <s v="Cash"/>
    <s v="Retail"/>
    <s v="East-David"/>
    <n v="126924.20999999999"/>
    <n v="143367.14000000001"/>
    <n v="16442.930000000022"/>
  </r>
  <r>
    <d v="2023-08-27T00:00:00"/>
    <s v="Charlie"/>
    <s v="North"/>
    <n v="2558.92"/>
    <n v="18"/>
    <x v="1"/>
    <n v="3591.14"/>
    <n v="3822.99"/>
    <s v="Returning"/>
    <n v="0.09"/>
    <s v="Credit Card"/>
    <s v="Online"/>
    <s v="North-Charlie"/>
    <n v="64640.52"/>
    <n v="68813.819999999992"/>
    <n v="4173.2999999999956"/>
  </r>
  <r>
    <d v="2023-05-28T00:00:00"/>
    <s v="David"/>
    <s v="East"/>
    <n v="2222.62"/>
    <n v="35"/>
    <x v="3"/>
    <n v="4867.6400000000003"/>
    <n v="5287.05"/>
    <s v="Returning"/>
    <n v="0.28000000000000003"/>
    <s v="Credit Card"/>
    <s v="Online"/>
    <s v="East-David"/>
    <n v="170367.40000000002"/>
    <n v="185046.75"/>
    <n v="14679.349999999977"/>
  </r>
  <r>
    <d v="2023-08-15T00:00:00"/>
    <s v="Alice"/>
    <s v="East"/>
    <n v="2780.98"/>
    <n v="26"/>
    <x v="1"/>
    <n v="1046.96"/>
    <n v="1528.15"/>
    <s v="New"/>
    <n v="7.0000000000000007E-2"/>
    <s v="Credit Card"/>
    <s v="Retail"/>
    <s v="East-Alice"/>
    <n v="27220.959999999999"/>
    <n v="39731.9"/>
    <n v="12510.940000000002"/>
  </r>
  <r>
    <d v="2023-09-01T00:00:00"/>
    <s v="David"/>
    <s v="West"/>
    <n v="2550.84"/>
    <n v="16"/>
    <x v="2"/>
    <n v="97.24"/>
    <n v="487.03"/>
    <s v="New"/>
    <n v="0.22"/>
    <s v="Bank Transfer"/>
    <s v="Retail"/>
    <s v="West-David"/>
    <n v="1555.84"/>
    <n v="7792.48"/>
    <n v="6236.6399999999994"/>
  </r>
  <r>
    <d v="2023-12-03T00:00:00"/>
    <s v="David"/>
    <s v="East"/>
    <n v="719.01"/>
    <n v="6"/>
    <x v="2"/>
    <n v="422.74"/>
    <n v="737.49"/>
    <s v="Returning"/>
    <n v="0.19"/>
    <s v="Credit Card"/>
    <s v="Retail"/>
    <s v="East-David"/>
    <n v="2536.44"/>
    <n v="4424.9400000000005"/>
    <n v="1888.5000000000005"/>
  </r>
  <r>
    <d v="2023-12-31T00:00:00"/>
    <s v="Alice"/>
    <s v="West"/>
    <n v="4643.51"/>
    <n v="44"/>
    <x v="2"/>
    <n v="1910.47"/>
    <n v="2217.8000000000002"/>
    <s v="New"/>
    <n v="0.22"/>
    <s v="Bank Transfer"/>
    <s v="Online"/>
    <s v="West-Alice"/>
    <n v="84060.680000000008"/>
    <n v="97583.200000000012"/>
    <n v="13522.520000000004"/>
  </r>
  <r>
    <d v="2023-07-20T00:00:00"/>
    <s v="Eve"/>
    <s v="West"/>
    <n v="7354.06"/>
    <n v="43"/>
    <x v="0"/>
    <n v="4111.7"/>
    <n v="4537.9399999999996"/>
    <s v="Returning"/>
    <n v="0.13"/>
    <s v="Bank Transfer"/>
    <s v="Online"/>
    <s v="West-Eve"/>
    <n v="176803.1"/>
    <n v="195131.41999999998"/>
    <n v="18328.319999999978"/>
  </r>
  <r>
    <d v="2023-06-03T00:00:00"/>
    <s v="David"/>
    <s v="South"/>
    <n v="6106.64"/>
    <n v="47"/>
    <x v="0"/>
    <n v="85.35"/>
    <n v="360.539999999999"/>
    <s v="New"/>
    <n v="0.28000000000000003"/>
    <s v="Cash"/>
    <s v="Online"/>
    <s v="South-David"/>
    <n v="4011.45"/>
    <n v="16945.379999999954"/>
    <n v="12933.929999999953"/>
  </r>
  <r>
    <d v="2023-03-14T00:00:00"/>
    <s v="David"/>
    <s v="East"/>
    <n v="6761.43"/>
    <n v="47"/>
    <x v="0"/>
    <n v="2310.8200000000002"/>
    <n v="2714.71"/>
    <s v="New"/>
    <n v="0.19"/>
    <s v="Cash"/>
    <s v="Retail"/>
    <s v="East-David"/>
    <n v="108608.54000000001"/>
    <n v="127591.37"/>
    <n v="18982.829999999987"/>
  </r>
  <r>
    <d v="2023-07-20T00:00:00"/>
    <s v="Eve"/>
    <s v="North"/>
    <n v="903.38"/>
    <n v="48"/>
    <x v="3"/>
    <n v="1679.69"/>
    <n v="1939.04"/>
    <s v="New"/>
    <n v="0.09"/>
    <s v="Credit Card"/>
    <s v="Online"/>
    <s v="North-Eve"/>
    <n v="80625.119999999995"/>
    <n v="93073.919999999998"/>
    <n v="12448.800000000003"/>
  </r>
  <r>
    <d v="2023-10-23T00:00:00"/>
    <s v="David"/>
    <s v="South"/>
    <n v="9519.76"/>
    <n v="42"/>
    <x v="1"/>
    <n v="309.77999999999997"/>
    <n v="350.38"/>
    <s v="Returning"/>
    <n v="0.19"/>
    <s v="Credit Card"/>
    <s v="Retail"/>
    <s v="South-David"/>
    <n v="13010.759999999998"/>
    <n v="14715.96"/>
    <n v="1705.2000000000007"/>
  </r>
  <r>
    <d v="2023-01-17T00:00:00"/>
    <s v="David"/>
    <s v="West"/>
    <n v="8401.07"/>
    <n v="12"/>
    <x v="0"/>
    <n v="2278.67"/>
    <n v="2476.8000000000002"/>
    <s v="New"/>
    <n v="0.09"/>
    <s v="Cash"/>
    <s v="Retail"/>
    <s v="West-David"/>
    <n v="27344.04"/>
    <n v="29721.600000000002"/>
    <n v="2377.5600000000013"/>
  </r>
  <r>
    <d v="2023-05-09T00:00:00"/>
    <s v="David"/>
    <s v="West"/>
    <n v="8070.39"/>
    <n v="13"/>
    <x v="1"/>
    <n v="1311.01"/>
    <n v="1538.79"/>
    <s v="Returning"/>
    <n v="0.09"/>
    <s v="Bank Transfer"/>
    <s v="Retail"/>
    <s v="West-David"/>
    <n v="17043.13"/>
    <n v="20004.27"/>
    <n v="2961.1399999999994"/>
  </r>
  <r>
    <d v="2023-08-05T00:00:00"/>
    <s v="Bob"/>
    <s v="North"/>
    <n v="8247.5400000000009"/>
    <n v="4"/>
    <x v="1"/>
    <n v="1791.83"/>
    <n v="1871.22"/>
    <s v="Returning"/>
    <n v="0.12"/>
    <s v="Bank Transfer"/>
    <s v="Online"/>
    <s v="North-Bob"/>
    <n v="7167.32"/>
    <n v="7484.88"/>
    <n v="317.5600000000004"/>
  </r>
  <r>
    <d v="2023-03-02T00:00:00"/>
    <s v="Eve"/>
    <s v="West"/>
    <n v="9333.83"/>
    <n v="39"/>
    <x v="1"/>
    <n v="3542.8"/>
    <n v="3603.02"/>
    <s v="Returning"/>
    <n v="0.26"/>
    <s v="Cash"/>
    <s v="Online"/>
    <s v="West-Eve"/>
    <n v="138169.20000000001"/>
    <n v="140517.78"/>
    <n v="2348.5799999999872"/>
  </r>
  <r>
    <d v="2023-04-14T00:00:00"/>
    <s v="David"/>
    <s v="East"/>
    <n v="5488.11"/>
    <n v="2"/>
    <x v="3"/>
    <n v="2631.68"/>
    <n v="2904.06"/>
    <s v="New"/>
    <n v="0.15"/>
    <s v="Bank Transfer"/>
    <s v="Online"/>
    <s v="East-David"/>
    <n v="5263.36"/>
    <n v="5808.12"/>
    <n v="544.76000000000022"/>
  </r>
  <r>
    <d v="2023-02-11T00:00:00"/>
    <s v="Eve"/>
    <s v="South"/>
    <n v="2082.79"/>
    <n v="26"/>
    <x v="3"/>
    <n v="667"/>
    <n v="718.72"/>
    <s v="New"/>
    <n v="0.2"/>
    <s v="Cash"/>
    <s v="Retail"/>
    <s v="South-Eve"/>
    <n v="17342"/>
    <n v="18686.72"/>
    <n v="1344.7200000000012"/>
  </r>
  <r>
    <d v="2023-01-25T00:00:00"/>
    <s v="Charlie"/>
    <s v="West"/>
    <n v="6206.16"/>
    <n v="27"/>
    <x v="2"/>
    <n v="4809"/>
    <n v="4967.4399999999996"/>
    <s v="New"/>
    <n v="0.12"/>
    <s v="Cash"/>
    <s v="Online"/>
    <s v="West-Charlie"/>
    <n v="129843"/>
    <n v="134120.87999999998"/>
    <n v="4277.8799999999756"/>
  </r>
  <r>
    <d v="2023-02-08T00:00:00"/>
    <s v="Charlie"/>
    <s v="West"/>
    <n v="7454.53"/>
    <n v="27"/>
    <x v="2"/>
    <n v="3197.76"/>
    <n v="3572.61"/>
    <s v="Returning"/>
    <n v="0.08"/>
    <s v="Credit Card"/>
    <s v="Online"/>
    <s v="West-Charlie"/>
    <n v="86339.520000000004"/>
    <n v="96460.47"/>
    <n v="10120.949999999997"/>
  </r>
  <r>
    <d v="2023-10-18T00:00:00"/>
    <s v="David"/>
    <s v="North"/>
    <n v="7405.38"/>
    <n v="15"/>
    <x v="1"/>
    <n v="3841.05"/>
    <n v="4323.62"/>
    <s v="Returning"/>
    <n v="0.28999999999999998"/>
    <s v="Credit Card"/>
    <s v="Retail"/>
    <s v="North-David"/>
    <n v="57615.75"/>
    <n v="64854.299999999996"/>
    <n v="7238.5499999999956"/>
  </r>
  <r>
    <d v="2023-05-11T00:00:00"/>
    <s v="Eve"/>
    <s v="East"/>
    <n v="5262.35"/>
    <n v="8"/>
    <x v="2"/>
    <n v="442.11"/>
    <n v="803.87"/>
    <s v="New"/>
    <n v="0.18"/>
    <s v="Cash"/>
    <s v="Retail"/>
    <s v="East-Eve"/>
    <n v="3536.88"/>
    <n v="6430.96"/>
    <n v="2894.08"/>
  </r>
  <r>
    <d v="2023-08-17T00:00:00"/>
    <s v="Eve"/>
    <s v="West"/>
    <n v="777.74"/>
    <n v="7"/>
    <x v="1"/>
    <n v="282.94"/>
    <n v="779.32999999999902"/>
    <s v="Returning"/>
    <n v="0.28000000000000003"/>
    <s v="Credit Card"/>
    <s v="Online"/>
    <s v="West-Eve"/>
    <n v="1980.58"/>
    <n v="5455.3099999999931"/>
    <n v="3474.7299999999932"/>
  </r>
  <r>
    <d v="2023-04-18T00:00:00"/>
    <s v="Eve"/>
    <s v="North"/>
    <n v="3774.02"/>
    <n v="47"/>
    <x v="3"/>
    <n v="146.27000000000001"/>
    <n v="498.46"/>
    <s v="New"/>
    <n v="0.06"/>
    <s v="Cash"/>
    <s v="Retail"/>
    <s v="North-Eve"/>
    <n v="6874.6900000000005"/>
    <n v="23427.62"/>
    <n v="16552.93"/>
  </r>
  <r>
    <d v="2023-06-21T00:00:00"/>
    <s v="Bob"/>
    <s v="West"/>
    <n v="9215.59"/>
    <n v="46"/>
    <x v="3"/>
    <n v="984.53"/>
    <n v="1138.49"/>
    <s v="New"/>
    <n v="0.04"/>
    <s v="Bank Transfer"/>
    <s v="Online"/>
    <s v="West-Bob"/>
    <n v="45288.38"/>
    <n v="52370.54"/>
    <n v="7082.1600000000035"/>
  </r>
  <r>
    <d v="2023-04-12T00:00:00"/>
    <s v="Charlie"/>
    <s v="North"/>
    <n v="5886.04"/>
    <n v="40"/>
    <x v="3"/>
    <n v="2101.3200000000002"/>
    <n v="2440.63"/>
    <s v="New"/>
    <n v="0.26"/>
    <s v="Bank Transfer"/>
    <s v="Retail"/>
    <s v="North-Charlie"/>
    <n v="84052.800000000003"/>
    <n v="97625.200000000012"/>
    <n v="13572.400000000009"/>
  </r>
  <r>
    <d v="2023-12-20T00:00:00"/>
    <s v="Eve"/>
    <s v="North"/>
    <n v="5429.49"/>
    <n v="12"/>
    <x v="0"/>
    <n v="4682.34"/>
    <n v="5036.3999999999996"/>
    <s v="New"/>
    <n v="0.2"/>
    <s v="Bank Transfer"/>
    <s v="Retail"/>
    <s v="North-Eve"/>
    <n v="56188.08"/>
    <n v="60436.799999999996"/>
    <n v="4248.7199999999939"/>
  </r>
  <r>
    <d v="2023-01-12T00:00:00"/>
    <s v="Eve"/>
    <s v="East"/>
    <n v="2761.65"/>
    <n v="13"/>
    <x v="1"/>
    <n v="2312.4499999999998"/>
    <n v="2504.6"/>
    <s v="Returning"/>
    <n v="0.06"/>
    <s v="Bank Transfer"/>
    <s v="Online"/>
    <s v="East-Eve"/>
    <n v="30061.85"/>
    <n v="32559.8"/>
    <n v="2497.9500000000007"/>
  </r>
  <r>
    <d v="2023-10-02T00:00:00"/>
    <s v="Bob"/>
    <s v="West"/>
    <n v="3747.64"/>
    <n v="43"/>
    <x v="3"/>
    <n v="1486.76"/>
    <n v="1505.44"/>
    <s v="New"/>
    <n v="0.08"/>
    <s v="Cash"/>
    <s v="Retail"/>
    <s v="West-Bob"/>
    <n v="63930.68"/>
    <n v="64733.920000000006"/>
    <n v="803.24000000000524"/>
  </r>
  <r>
    <d v="2023-04-11T00:00:00"/>
    <s v="Bob"/>
    <s v="East"/>
    <n v="8963.93"/>
    <n v="17"/>
    <x v="1"/>
    <n v="2831.58"/>
    <n v="3186.15"/>
    <s v="New"/>
    <n v="0.24"/>
    <s v="Bank Transfer"/>
    <s v="Retail"/>
    <s v="East-Bob"/>
    <n v="48136.86"/>
    <n v="54164.55"/>
    <n v="6027.6900000000023"/>
  </r>
  <r>
    <d v="2023-02-13T00:00:00"/>
    <s v="Eve"/>
    <s v="North"/>
    <n v="6697.98"/>
    <n v="17"/>
    <x v="2"/>
    <n v="604.08000000000004"/>
    <n v="624.71"/>
    <s v="New"/>
    <n v="0.14000000000000001"/>
    <s v="Bank Transfer"/>
    <s v="Retail"/>
    <s v="North-Eve"/>
    <n v="10269.36"/>
    <n v="10620.07"/>
    <n v="350.70999999999913"/>
  </r>
  <r>
    <d v="2023-11-01T00:00:00"/>
    <s v="Alice"/>
    <s v="South"/>
    <n v="7895.13"/>
    <n v="36"/>
    <x v="2"/>
    <n v="3067.05"/>
    <n v="3386.33"/>
    <s v="New"/>
    <n v="0.2"/>
    <s v="Bank Transfer"/>
    <s v="Online"/>
    <s v="South-Alice"/>
    <n v="110413.8"/>
    <n v="121907.88"/>
    <n v="11494.080000000002"/>
  </r>
  <r>
    <d v="2023-01-17T00:00:00"/>
    <s v="Eve"/>
    <s v="West"/>
    <n v="4598.0200000000004"/>
    <n v="21"/>
    <x v="3"/>
    <n v="2863.74"/>
    <n v="2953.91"/>
    <s v="New"/>
    <n v="0.1"/>
    <s v="Bank Transfer"/>
    <s v="Retail"/>
    <s v="West-Eve"/>
    <n v="60138.539999999994"/>
    <n v="62032.11"/>
    <n v="1893.570000000007"/>
  </r>
  <r>
    <d v="2023-11-26T00:00:00"/>
    <s v="Eve"/>
    <s v="South"/>
    <n v="6339.45"/>
    <n v="8"/>
    <x v="1"/>
    <n v="3970.37"/>
    <n v="4257.5199999999904"/>
    <s v="New"/>
    <n v="0.11"/>
    <s v="Cash"/>
    <s v="Retail"/>
    <s v="South-Eve"/>
    <n v="31762.959999999999"/>
    <n v="34060.159999999923"/>
    <n v="2297.1999999999243"/>
  </r>
  <r>
    <d v="2023-02-26T00:00:00"/>
    <s v="Bob"/>
    <s v="West"/>
    <n v="2559"/>
    <n v="5"/>
    <x v="3"/>
    <n v="4934.1000000000004"/>
    <n v="5191.0200000000004"/>
    <s v="New"/>
    <n v="0.3"/>
    <s v="Bank Transfer"/>
    <s v="Online"/>
    <s v="West-Bob"/>
    <n v="24670.5"/>
    <n v="25955.100000000002"/>
    <n v="1284.6000000000022"/>
  </r>
  <r>
    <d v="2023-11-07T00:00:00"/>
    <s v="Bob"/>
    <s v="East"/>
    <n v="7084.06"/>
    <n v="26"/>
    <x v="2"/>
    <n v="1291.82"/>
    <n v="1308.4399999999901"/>
    <s v="Returning"/>
    <n v="7.0000000000000007E-2"/>
    <s v="Credit Card"/>
    <s v="Online"/>
    <s v="East-Bob"/>
    <n v="33587.32"/>
    <n v="34019.43999999974"/>
    <n v="432.11999999974068"/>
  </r>
  <r>
    <d v="2023-10-30T00:00:00"/>
    <s v="Eve"/>
    <s v="East"/>
    <n v="4333.25"/>
    <n v="16"/>
    <x v="3"/>
    <n v="2572.8000000000002"/>
    <n v="2760.6"/>
    <s v="Returning"/>
    <n v="0.15"/>
    <s v="Credit Card"/>
    <s v="Retail"/>
    <s v="East-Eve"/>
    <n v="41164.800000000003"/>
    <n v="44169.599999999999"/>
    <n v="3004.7999999999956"/>
  </r>
  <r>
    <d v="2023-01-12T00:00:00"/>
    <s v="Eve"/>
    <s v="East"/>
    <n v="4481.2"/>
    <n v="36"/>
    <x v="1"/>
    <n v="4548.88"/>
    <n v="4853.41"/>
    <s v="Returning"/>
    <n v="0.25"/>
    <s v="Credit Card"/>
    <s v="Retail"/>
    <s v="East-Eve"/>
    <n v="163759.67999999999"/>
    <n v="174722.76"/>
    <n v="10963.080000000016"/>
  </r>
  <r>
    <d v="2023-11-14T00:00:00"/>
    <s v="Eve"/>
    <s v="East"/>
    <n v="6528.29"/>
    <n v="28"/>
    <x v="2"/>
    <n v="3936.69"/>
    <n v="4362.51"/>
    <s v="Returning"/>
    <n v="7.0000000000000007E-2"/>
    <s v="Credit Card"/>
    <s v="Retail"/>
    <s v="East-Eve"/>
    <n v="110227.32"/>
    <n v="122150.28"/>
    <n v="11922.959999999992"/>
  </r>
  <r>
    <d v="2023-03-21T00:00:00"/>
    <s v="Bob"/>
    <s v="East"/>
    <n v="9369.18"/>
    <n v="29"/>
    <x v="0"/>
    <n v="2462.66"/>
    <n v="2908.0899999999901"/>
    <s v="New"/>
    <n v="0.12"/>
    <s v="Credit Card"/>
    <s v="Online"/>
    <s v="East-Bob"/>
    <n v="71417.14"/>
    <n v="84334.60999999971"/>
    <n v="12917.46999999971"/>
  </r>
  <r>
    <d v="2023-08-04T00:00:00"/>
    <s v="Eve"/>
    <s v="South"/>
    <n v="733.66"/>
    <n v="47"/>
    <x v="2"/>
    <n v="4729.59"/>
    <n v="4976.68"/>
    <s v="Returning"/>
    <n v="0.18"/>
    <s v="Credit Card"/>
    <s v="Retail"/>
    <s v="South-Eve"/>
    <n v="222290.73"/>
    <n v="233903.96000000002"/>
    <n v="11613.23000000001"/>
  </r>
  <r>
    <d v="2023-12-05T00:00:00"/>
    <s v="Eve"/>
    <s v="East"/>
    <n v="8264.9599999999991"/>
    <n v="12"/>
    <x v="0"/>
    <n v="333.32"/>
    <n v="700.25"/>
    <s v="Returning"/>
    <n v="0.14000000000000001"/>
    <s v="Cash"/>
    <s v="Online"/>
    <s v="East-Eve"/>
    <n v="3999.84"/>
    <n v="8403"/>
    <n v="4403.16"/>
  </r>
  <r>
    <d v="2023-09-21T00:00:00"/>
    <s v="David"/>
    <s v="North"/>
    <n v="2994.59"/>
    <n v="37"/>
    <x v="3"/>
    <n v="4658.4399999999996"/>
    <n v="4823.5"/>
    <s v="Returning"/>
    <n v="0.14000000000000001"/>
    <s v="Credit Card"/>
    <s v="Online"/>
    <s v="North-David"/>
    <n v="172362.28"/>
    <n v="178469.5"/>
    <n v="6107.2200000000012"/>
  </r>
  <r>
    <d v="2023-05-29T00:00:00"/>
    <s v="Alice"/>
    <s v="North"/>
    <n v="4494.8"/>
    <n v="30"/>
    <x v="3"/>
    <n v="300.01"/>
    <n v="477.67999999999898"/>
    <s v="New"/>
    <n v="0.11"/>
    <s v="Bank Transfer"/>
    <s v="Retail"/>
    <s v="North-Alice"/>
    <n v="9000.2999999999993"/>
    <n v="14330.399999999969"/>
    <n v="5330.0999999999694"/>
  </r>
  <r>
    <d v="2023-03-22T00:00:00"/>
    <s v="Charlie"/>
    <s v="South"/>
    <n v="316.94"/>
    <n v="23"/>
    <x v="1"/>
    <n v="2759.16"/>
    <n v="2864.45"/>
    <s v="Returning"/>
    <n v="0.18"/>
    <s v="Credit Card"/>
    <s v="Retail"/>
    <s v="South-Charlie"/>
    <n v="63460.679999999993"/>
    <n v="65882.349999999991"/>
    <n v="2421.6699999999983"/>
  </r>
  <r>
    <d v="2023-08-03T00:00:00"/>
    <s v="Alice"/>
    <s v="West"/>
    <n v="3080.36"/>
    <n v="16"/>
    <x v="0"/>
    <n v="4457.68"/>
    <n v="4743.03"/>
    <s v="Returning"/>
    <n v="0.19"/>
    <s v="Cash"/>
    <s v="Online"/>
    <s v="West-Alice"/>
    <n v="71322.880000000005"/>
    <n v="75888.479999999996"/>
    <n v="4565.5999999999913"/>
  </r>
  <r>
    <d v="2023-07-17T00:00:00"/>
    <s v="David"/>
    <s v="North"/>
    <n v="5076.05"/>
    <n v="14"/>
    <x v="3"/>
    <n v="1350.47"/>
    <n v="1514.61"/>
    <s v="New"/>
    <n v="0.2"/>
    <s v="Credit Card"/>
    <s v="Retail"/>
    <s v="North-David"/>
    <n v="18906.580000000002"/>
    <n v="21204.539999999997"/>
    <n v="2297.9599999999955"/>
  </r>
  <r>
    <d v="2023-07-19T00:00:00"/>
    <s v="Charlie"/>
    <s v="West"/>
    <n v="656.14"/>
    <n v="10"/>
    <x v="0"/>
    <n v="2387.63"/>
    <n v="2438.9699999999998"/>
    <s v="Returning"/>
    <n v="0.02"/>
    <s v="Bank Transfer"/>
    <s v="Retail"/>
    <s v="West-Charlie"/>
    <n v="23876.300000000003"/>
    <n v="24389.699999999997"/>
    <n v="513.39999999999418"/>
  </r>
  <r>
    <d v="2023-01-25T00:00:00"/>
    <s v="Eve"/>
    <s v="South"/>
    <n v="4961.8500000000004"/>
    <n v="7"/>
    <x v="3"/>
    <n v="1655.43"/>
    <n v="2001.08"/>
    <s v="New"/>
    <n v="0.19"/>
    <s v="Bank Transfer"/>
    <s v="Online"/>
    <s v="South-Eve"/>
    <n v="11588.01"/>
    <n v="14007.56"/>
    <n v="2419.5499999999993"/>
  </r>
  <r>
    <d v="2023-03-30T00:00:00"/>
    <s v="David"/>
    <s v="West"/>
    <n v="9278.4"/>
    <n v="45"/>
    <x v="2"/>
    <n v="4763.1099999999997"/>
    <n v="5119.91"/>
    <s v="Returning"/>
    <n v="0.28999999999999998"/>
    <s v="Cash"/>
    <s v="Retail"/>
    <s v="West-David"/>
    <n v="214339.94999999998"/>
    <n v="230395.94999999998"/>
    <n v="16056"/>
  </r>
  <r>
    <d v="2023-09-25T00:00:00"/>
    <s v="Eve"/>
    <s v="West"/>
    <n v="1143.3900000000001"/>
    <n v="37"/>
    <x v="3"/>
    <n v="4127.05"/>
    <n v="4313.45"/>
    <s v="New"/>
    <n v="0.16"/>
    <s v="Cash"/>
    <s v="Online"/>
    <s v="West-Eve"/>
    <n v="152700.85"/>
    <n v="159597.65"/>
    <n v="6896.7999999999884"/>
  </r>
  <r>
    <d v="2023-05-23T00:00:00"/>
    <s v="Bob"/>
    <s v="West"/>
    <n v="7667.96"/>
    <n v="29"/>
    <x v="1"/>
    <n v="3559.56"/>
    <n v="3607.15"/>
    <s v="Returning"/>
    <n v="0.21"/>
    <s v="Cash"/>
    <s v="Retail"/>
    <s v="West-Bob"/>
    <n v="103227.24"/>
    <n v="104607.35"/>
    <n v="1380.1100000000006"/>
  </r>
  <r>
    <d v="2023-02-28T00:00:00"/>
    <s v="David"/>
    <s v="West"/>
    <n v="4155.74"/>
    <n v="3"/>
    <x v="2"/>
    <n v="2958.75"/>
    <n v="3177.64"/>
    <s v="Returning"/>
    <n v="0.17"/>
    <s v="Cash"/>
    <s v="Online"/>
    <s v="West-David"/>
    <n v="8876.25"/>
    <n v="9532.92"/>
    <n v="656.67000000000007"/>
  </r>
  <r>
    <d v="2023-12-31T00:00:00"/>
    <s v="Bob"/>
    <s v="South"/>
    <n v="6586.22"/>
    <n v="15"/>
    <x v="1"/>
    <n v="4111.93"/>
    <n v="4338.67"/>
    <s v="Returning"/>
    <n v="0.26"/>
    <s v="Credit Card"/>
    <s v="Online"/>
    <s v="South-Bob"/>
    <n v="61678.950000000004"/>
    <n v="65080.05"/>
    <n v="3401.0999999999985"/>
  </r>
  <r>
    <d v="2023-01-26T00:00:00"/>
    <s v="David"/>
    <s v="North"/>
    <n v="2676.34"/>
    <n v="36"/>
    <x v="2"/>
    <n v="1991.72"/>
    <n v="2329.37"/>
    <s v="New"/>
    <n v="0.28000000000000003"/>
    <s v="Credit Card"/>
    <s v="Retail"/>
    <s v="North-David"/>
    <n v="71701.919999999998"/>
    <n v="83857.319999999992"/>
    <n v="12155.399999999994"/>
  </r>
  <r>
    <d v="2023-02-16T00:00:00"/>
    <s v="David"/>
    <s v="East"/>
    <n v="1678.97"/>
    <n v="47"/>
    <x v="0"/>
    <n v="2265.38"/>
    <n v="2429.9299999999998"/>
    <s v="Returning"/>
    <n v="0.06"/>
    <s v="Bank Transfer"/>
    <s v="Online"/>
    <s v="East-David"/>
    <n v="106472.86"/>
    <n v="114206.70999999999"/>
    <n v="7733.8499999999913"/>
  </r>
  <r>
    <d v="2023-10-15T00:00:00"/>
    <s v="Bob"/>
    <s v="West"/>
    <n v="1688.58"/>
    <n v="46"/>
    <x v="1"/>
    <n v="3663.51"/>
    <n v="4007.98"/>
    <s v="New"/>
    <n v="0.13"/>
    <s v="Cash"/>
    <s v="Online"/>
    <s v="West-Bob"/>
    <n v="168521.46000000002"/>
    <n v="184367.08"/>
    <n v="15845.619999999966"/>
  </r>
  <r>
    <d v="2023-09-23T00:00:00"/>
    <s v="Charlie"/>
    <s v="North"/>
    <n v="797.87"/>
    <n v="19"/>
    <x v="3"/>
    <n v="1820.89"/>
    <n v="2257.92"/>
    <s v="New"/>
    <n v="0.12"/>
    <s v="Cash"/>
    <s v="Retail"/>
    <s v="North-Charlie"/>
    <n v="34596.910000000003"/>
    <n v="42900.480000000003"/>
    <n v="8303.57"/>
  </r>
  <r>
    <d v="2023-01-16T00:00:00"/>
    <s v="Alice"/>
    <s v="North"/>
    <n v="1937.9"/>
    <n v="13"/>
    <x v="0"/>
    <n v="366.31"/>
    <n v="492.68"/>
    <s v="New"/>
    <n v="0.12"/>
    <s v="Credit Card"/>
    <s v="Retail"/>
    <s v="North-Alice"/>
    <n v="4762.03"/>
    <n v="6404.84"/>
    <n v="1642.8100000000004"/>
  </r>
  <r>
    <d v="2023-07-18T00:00:00"/>
    <s v="Eve"/>
    <s v="South"/>
    <n v="6675.77"/>
    <n v="42"/>
    <x v="3"/>
    <n v="417.96"/>
    <n v="907.63"/>
    <s v="New"/>
    <n v="0.04"/>
    <s v="Cash"/>
    <s v="Retail"/>
    <s v="South-Eve"/>
    <n v="17554.32"/>
    <n v="38120.46"/>
    <n v="20566.14"/>
  </r>
  <r>
    <d v="2023-10-09T00:00:00"/>
    <s v="David"/>
    <s v="North"/>
    <n v="8828.74"/>
    <n v="21"/>
    <x v="2"/>
    <n v="621.04999999999995"/>
    <n v="820.36999999999898"/>
    <s v="Returning"/>
    <n v="0.24"/>
    <s v="Bank Transfer"/>
    <s v="Online"/>
    <s v="North-David"/>
    <n v="13042.05"/>
    <n v="17227.769999999979"/>
    <n v="4185.7199999999793"/>
  </r>
  <r>
    <d v="2023-03-27T00:00:00"/>
    <s v="Eve"/>
    <s v="South"/>
    <n v="8159.84"/>
    <n v="37"/>
    <x v="2"/>
    <n v="4354.92"/>
    <n v="4495.88"/>
    <s v="Returning"/>
    <n v="0.01"/>
    <s v="Bank Transfer"/>
    <s v="Online"/>
    <s v="South-Eve"/>
    <n v="161132.04"/>
    <n v="166347.56"/>
    <n v="5215.5199999999895"/>
  </r>
  <r>
    <d v="2023-09-07T00:00:00"/>
    <s v="Bob"/>
    <s v="West"/>
    <n v="6882.83"/>
    <n v="27"/>
    <x v="3"/>
    <n v="2387.52"/>
    <n v="2604.06"/>
    <s v="Returning"/>
    <n v="0.16"/>
    <s v="Cash"/>
    <s v="Online"/>
    <s v="West-Bob"/>
    <n v="64463.040000000001"/>
    <n v="70309.62"/>
    <n v="5846.5799999999945"/>
  </r>
  <r>
    <d v="2023-09-27T00:00:00"/>
    <s v="Eve"/>
    <s v="West"/>
    <n v="1193.28"/>
    <n v="29"/>
    <x v="3"/>
    <n v="3578.77"/>
    <n v="3635.02"/>
    <s v="New"/>
    <n v="0.2"/>
    <s v="Bank Transfer"/>
    <s v="Retail"/>
    <s v="West-Eve"/>
    <n v="103784.33"/>
    <n v="105415.58"/>
    <n v="1631.25"/>
  </r>
  <r>
    <d v="2023-12-01T00:00:00"/>
    <s v="Bob"/>
    <s v="East"/>
    <n v="2962.96"/>
    <n v="20"/>
    <x v="0"/>
    <n v="1994.9"/>
    <n v="2066.5"/>
    <s v="Returning"/>
    <n v="0.06"/>
    <s v="Bank Transfer"/>
    <s v="Online"/>
    <s v="East-Bob"/>
    <n v="39898"/>
    <n v="41330"/>
    <n v="1432"/>
  </r>
  <r>
    <d v="2023-04-27T00:00:00"/>
    <s v="Eve"/>
    <s v="East"/>
    <n v="3167.09"/>
    <n v="25"/>
    <x v="3"/>
    <n v="1330.62"/>
    <n v="1543.6899999999901"/>
    <s v="New"/>
    <n v="0.27"/>
    <s v="Credit Card"/>
    <s v="Online"/>
    <s v="East-Eve"/>
    <n v="33265.5"/>
    <n v="38592.249999999753"/>
    <n v="5326.7499999997526"/>
  </r>
  <r>
    <d v="2023-01-07T00:00:00"/>
    <s v="Alice"/>
    <s v="East"/>
    <n v="2574.5700000000002"/>
    <n v="6"/>
    <x v="1"/>
    <n v="1768.6"/>
    <n v="2152.1999999999998"/>
    <s v="New"/>
    <n v="0.25"/>
    <s v="Bank Transfer"/>
    <s v="Retail"/>
    <s v="East-Alice"/>
    <n v="10611.599999999999"/>
    <n v="12913.199999999999"/>
    <n v="2301.6000000000004"/>
  </r>
  <r>
    <d v="2023-05-17T00:00:00"/>
    <s v="Alice"/>
    <s v="North"/>
    <n v="5198.5600000000004"/>
    <n v="36"/>
    <x v="1"/>
    <n v="3981.2"/>
    <n v="4432.3499999999904"/>
    <s v="New"/>
    <n v="0.14000000000000001"/>
    <s v="Cash"/>
    <s v="Online"/>
    <s v="North-Alice"/>
    <n v="143323.19999999998"/>
    <n v="159564.59999999966"/>
    <n v="16241.399999999674"/>
  </r>
  <r>
    <d v="2023-06-25T00:00:00"/>
    <s v="Alice"/>
    <s v="West"/>
    <n v="5401.98"/>
    <n v="2"/>
    <x v="3"/>
    <n v="3144.82"/>
    <n v="3480.58"/>
    <s v="Returning"/>
    <n v="0.12"/>
    <s v="Cash"/>
    <s v="Retail"/>
    <s v="West-Alice"/>
    <n v="6289.64"/>
    <n v="6961.16"/>
    <n v="671.51999999999953"/>
  </r>
  <r>
    <d v="2023-11-24T00:00:00"/>
    <s v="Alice"/>
    <s v="South"/>
    <n v="3633.17"/>
    <n v="22"/>
    <x v="1"/>
    <n v="4691.32"/>
    <n v="4752.88"/>
    <s v="Returning"/>
    <n v="7.0000000000000007E-2"/>
    <s v="Bank Transfer"/>
    <s v="Retail"/>
    <s v="South-Alice"/>
    <n v="103209.04"/>
    <n v="104563.36"/>
    <n v="1354.320000000007"/>
  </r>
  <r>
    <d v="2023-11-11T00:00:00"/>
    <s v="Alice"/>
    <s v="East"/>
    <n v="3602.51"/>
    <n v="32"/>
    <x v="3"/>
    <n v="3414.54"/>
    <n v="3753.83"/>
    <s v="New"/>
    <n v="0.22"/>
    <s v="Cash"/>
    <s v="Retail"/>
    <s v="East-Alice"/>
    <n v="109265.28"/>
    <n v="120122.56"/>
    <n v="10857.279999999999"/>
  </r>
  <r>
    <d v="2023-08-03T00:00:00"/>
    <s v="Alice"/>
    <s v="South"/>
    <n v="8302.7000000000007"/>
    <n v="16"/>
    <x v="0"/>
    <n v="2872.4"/>
    <n v="3193.76"/>
    <s v="Returning"/>
    <n v="0.04"/>
    <s v="Credit Card"/>
    <s v="Online"/>
    <s v="South-Alice"/>
    <n v="45958.400000000001"/>
    <n v="51100.160000000003"/>
    <n v="5141.760000000002"/>
  </r>
  <r>
    <d v="2023-03-23T00:00:00"/>
    <s v="Bob"/>
    <s v="South"/>
    <n v="7914"/>
    <n v="18"/>
    <x v="1"/>
    <n v="3070.47"/>
    <n v="3475.29"/>
    <s v="Returning"/>
    <n v="0.2"/>
    <s v="Bank Transfer"/>
    <s v="Online"/>
    <s v="South-Bob"/>
    <n v="55268.46"/>
    <n v="62555.22"/>
    <n v="7286.760000000002"/>
  </r>
  <r>
    <d v="2023-08-11T00:00:00"/>
    <s v="David"/>
    <s v="East"/>
    <n v="3147.18"/>
    <n v="5"/>
    <x v="1"/>
    <n v="4714.74"/>
    <n v="5129.1099999999997"/>
    <s v="New"/>
    <n v="0.25"/>
    <s v="Bank Transfer"/>
    <s v="Online"/>
    <s v="East-David"/>
    <n v="23573.699999999997"/>
    <n v="25645.55"/>
    <n v="2071.8500000000022"/>
  </r>
  <r>
    <d v="2023-04-13T00:00:00"/>
    <s v="Eve"/>
    <s v="West"/>
    <n v="9146.51"/>
    <n v="36"/>
    <x v="3"/>
    <n v="3951.59"/>
    <n v="4387.01"/>
    <s v="New"/>
    <n v="7.0000000000000007E-2"/>
    <s v="Bank Transfer"/>
    <s v="Retail"/>
    <s v="West-Eve"/>
    <n v="142257.24"/>
    <n v="157932.36000000002"/>
    <n v="15675.120000000024"/>
  </r>
  <r>
    <d v="2023-09-30T00:00:00"/>
    <s v="Alice"/>
    <s v="East"/>
    <n v="9532.8700000000008"/>
    <n v="30"/>
    <x v="1"/>
    <n v="169"/>
    <n v="381.91999999999899"/>
    <s v="Returning"/>
    <n v="0.26"/>
    <s v="Cash"/>
    <s v="Retail"/>
    <s v="East-Alice"/>
    <n v="5070"/>
    <n v="11457.599999999969"/>
    <n v="6387.5999999999694"/>
  </r>
  <r>
    <d v="2023-01-14T00:00:00"/>
    <s v="Bob"/>
    <s v="South"/>
    <n v="3334.75"/>
    <n v="45"/>
    <x v="2"/>
    <n v="2693.99"/>
    <n v="3045.9399999999901"/>
    <s v="New"/>
    <n v="0.01"/>
    <s v="Cash"/>
    <s v="Retail"/>
    <s v="South-Bob"/>
    <n v="121229.54999999999"/>
    <n v="137067.29999999955"/>
    <n v="15837.749999999563"/>
  </r>
  <r>
    <d v="2023-06-08T00:00:00"/>
    <s v="Bob"/>
    <s v="East"/>
    <n v="3608.81"/>
    <n v="19"/>
    <x v="0"/>
    <n v="3457.28"/>
    <n v="3598.72"/>
    <s v="New"/>
    <n v="0.27"/>
    <s v="Bank Transfer"/>
    <s v="Online"/>
    <s v="East-Bob"/>
    <n v="65688.320000000007"/>
    <n v="68375.679999999993"/>
    <n v="2687.359999999986"/>
  </r>
  <r>
    <d v="2023-06-01T00:00:00"/>
    <s v="Bob"/>
    <s v="South"/>
    <n v="5105.78"/>
    <n v="23"/>
    <x v="0"/>
    <n v="3756.06"/>
    <n v="4255.7299999999996"/>
    <s v="Returning"/>
    <n v="0.04"/>
    <s v="Cash"/>
    <s v="Online"/>
    <s v="South-Bob"/>
    <n v="86389.38"/>
    <n v="97881.79"/>
    <n v="11492.409999999989"/>
  </r>
  <r>
    <d v="2023-04-18T00:00:00"/>
    <s v="David"/>
    <s v="South"/>
    <n v="9417.1"/>
    <n v="34"/>
    <x v="1"/>
    <n v="1105.05"/>
    <n v="1200.96"/>
    <s v="Returning"/>
    <n v="0.19"/>
    <s v="Cash"/>
    <s v="Online"/>
    <s v="South-David"/>
    <n v="37571.699999999997"/>
    <n v="40832.639999999999"/>
    <n v="3260.9400000000023"/>
  </r>
  <r>
    <d v="2023-07-07T00:00:00"/>
    <s v="Eve"/>
    <s v="East"/>
    <n v="8775.56"/>
    <n v="13"/>
    <x v="1"/>
    <n v="4342.53"/>
    <n v="4357.49"/>
    <s v="New"/>
    <n v="0.08"/>
    <s v="Bank Transfer"/>
    <s v="Online"/>
    <s v="East-Eve"/>
    <n v="56452.89"/>
    <n v="56647.369999999995"/>
    <n v="194.47999999999593"/>
  </r>
  <r>
    <d v="2023-10-28T00:00:00"/>
    <s v="David"/>
    <s v="North"/>
    <n v="1115.42"/>
    <n v="43"/>
    <x v="2"/>
    <n v="4781.42"/>
    <n v="4864.34"/>
    <s v="Returning"/>
    <n v="0.25"/>
    <s v="Bank Transfer"/>
    <s v="Online"/>
    <s v="North-David"/>
    <n v="205601.06"/>
    <n v="209166.62"/>
    <n v="3565.5599999999977"/>
  </r>
  <r>
    <d v="2023-04-08T00:00:00"/>
    <s v="Charlie"/>
    <s v="East"/>
    <n v="3988.03"/>
    <n v="29"/>
    <x v="2"/>
    <n v="1221.74"/>
    <n v="1611.92"/>
    <s v="New"/>
    <n v="0.15"/>
    <s v="Cash"/>
    <s v="Retail"/>
    <s v="East-Charlie"/>
    <n v="35430.46"/>
    <n v="46745.68"/>
    <n v="11315.220000000001"/>
  </r>
  <r>
    <d v="2023-05-11T00:00:00"/>
    <s v="Bob"/>
    <s v="North"/>
    <n v="5578.37"/>
    <n v="36"/>
    <x v="1"/>
    <n v="4418.95"/>
    <n v="4647.87"/>
    <s v="New"/>
    <n v="0.04"/>
    <s v="Bank Transfer"/>
    <s v="Online"/>
    <s v="North-Bob"/>
    <n v="159082.19999999998"/>
    <n v="167323.32"/>
    <n v="8241.1200000000244"/>
  </r>
  <r>
    <d v="2023-10-20T00:00:00"/>
    <s v="Charlie"/>
    <s v="South"/>
    <n v="5081.01"/>
    <n v="22"/>
    <x v="1"/>
    <n v="530.04"/>
    <n v="759.31999999999903"/>
    <s v="Returning"/>
    <n v="0.17"/>
    <s v="Bank Transfer"/>
    <s v="Retail"/>
    <s v="South-Charlie"/>
    <n v="11660.88"/>
    <n v="16705.039999999979"/>
    <n v="5044.1599999999798"/>
  </r>
  <r>
    <d v="2023-06-20T00:00:00"/>
    <s v="Alice"/>
    <s v="South"/>
    <n v="2019.24"/>
    <n v="47"/>
    <x v="2"/>
    <n v="325.75"/>
    <n v="803.71"/>
    <s v="New"/>
    <n v="0.12"/>
    <s v="Bank Transfer"/>
    <s v="Retail"/>
    <s v="South-Alice"/>
    <n v="15310.25"/>
    <n v="37774.370000000003"/>
    <n v="22464.120000000003"/>
  </r>
  <r>
    <d v="2023-07-02T00:00:00"/>
    <s v="Alice"/>
    <s v="North"/>
    <n v="8602.2900000000009"/>
    <n v="36"/>
    <x v="3"/>
    <n v="689.66"/>
    <n v="1150.28"/>
    <s v="New"/>
    <n v="0.2"/>
    <s v="Bank Transfer"/>
    <s v="Online"/>
    <s v="North-Alice"/>
    <n v="24827.759999999998"/>
    <n v="41410.080000000002"/>
    <n v="16582.320000000003"/>
  </r>
  <r>
    <d v="2023-12-30T00:00:00"/>
    <s v="David"/>
    <s v="South"/>
    <n v="6801.71"/>
    <n v="9"/>
    <x v="2"/>
    <n v="335.82"/>
    <n v="498.31"/>
    <s v="New"/>
    <n v="0.26"/>
    <s v="Cash"/>
    <s v="Retail"/>
    <s v="South-David"/>
    <n v="3022.38"/>
    <n v="4484.79"/>
    <n v="1462.4099999999999"/>
  </r>
  <r>
    <d v="2023-02-08T00:00:00"/>
    <s v="Eve"/>
    <s v="North"/>
    <n v="8395.2900000000009"/>
    <n v="39"/>
    <x v="3"/>
    <n v="4232.8100000000004"/>
    <n v="4345.25"/>
    <s v="Returning"/>
    <n v="0.12"/>
    <s v="Bank Transfer"/>
    <s v="Online"/>
    <s v="North-Eve"/>
    <n v="165079.59000000003"/>
    <n v="169464.75"/>
    <n v="4385.1599999999744"/>
  </r>
  <r>
    <d v="2023-01-15T00:00:00"/>
    <s v="Charlie"/>
    <s v="North"/>
    <n v="8601.77"/>
    <n v="19"/>
    <x v="0"/>
    <n v="342.3"/>
    <n v="768.06"/>
    <s v="Returning"/>
    <n v="0.09"/>
    <s v="Credit Card"/>
    <s v="Online"/>
    <s v="North-Charlie"/>
    <n v="6503.7"/>
    <n v="14593.14"/>
    <n v="8089.44"/>
  </r>
  <r>
    <d v="2023-01-04T00:00:00"/>
    <s v="Eve"/>
    <s v="South"/>
    <n v="7508.72"/>
    <n v="38"/>
    <x v="0"/>
    <n v="1394.74"/>
    <n v="1848.69"/>
    <s v="Returning"/>
    <n v="0"/>
    <s v="Bank Transfer"/>
    <s v="Retail"/>
    <s v="South-Eve"/>
    <n v="53000.12"/>
    <n v="70250.22"/>
    <n v="17250.099999999999"/>
  </r>
  <r>
    <d v="2023-12-15T00:00:00"/>
    <s v="David"/>
    <s v="West"/>
    <n v="4448.18"/>
    <n v="6"/>
    <x v="2"/>
    <n v="563.59"/>
    <n v="838.97"/>
    <s v="New"/>
    <n v="0.17"/>
    <s v="Credit Card"/>
    <s v="Online"/>
    <s v="West-David"/>
    <n v="3381.54"/>
    <n v="5033.82"/>
    <n v="1652.2799999999997"/>
  </r>
  <r>
    <d v="2023-07-29T00:00:00"/>
    <s v="Alice"/>
    <s v="North"/>
    <n v="6144.41"/>
    <n v="47"/>
    <x v="3"/>
    <n v="1512.34"/>
    <n v="1830.76"/>
    <s v="New"/>
    <n v="0.12"/>
    <s v="Bank Transfer"/>
    <s v="Online"/>
    <s v="North-Alice"/>
    <n v="71079.98"/>
    <n v="86045.72"/>
    <n v="14965.740000000005"/>
  </r>
  <r>
    <d v="2023-06-10T00:00:00"/>
    <s v="Eve"/>
    <s v="East"/>
    <n v="1687.62"/>
    <n v="15"/>
    <x v="2"/>
    <n v="498.27"/>
    <n v="634.16"/>
    <s v="Returning"/>
    <n v="0.11"/>
    <s v="Credit Card"/>
    <s v="Retail"/>
    <s v="East-Eve"/>
    <n v="7474.0499999999993"/>
    <n v="9512.4"/>
    <n v="2038.3500000000004"/>
  </r>
  <r>
    <d v="2023-01-16T00:00:00"/>
    <s v="Eve"/>
    <s v="East"/>
    <n v="6769.09"/>
    <n v="20"/>
    <x v="2"/>
    <n v="3356.62"/>
    <n v="3759.0099999999902"/>
    <s v="Returning"/>
    <n v="0.05"/>
    <s v="Credit Card"/>
    <s v="Retail"/>
    <s v="East-Eve"/>
    <n v="67132.399999999994"/>
    <n v="75180.199999999808"/>
    <n v="8047.7999999998137"/>
  </r>
  <r>
    <d v="2023-04-18T00:00:00"/>
    <s v="Alice"/>
    <s v="South"/>
    <n v="1874.61"/>
    <n v="9"/>
    <x v="3"/>
    <n v="709.97"/>
    <n v="1029.71"/>
    <s v="Returning"/>
    <n v="0.13"/>
    <s v="Bank Transfer"/>
    <s v="Retail"/>
    <s v="South-Alice"/>
    <n v="6389.7300000000005"/>
    <n v="9267.39"/>
    <n v="2877.6599999999989"/>
  </r>
  <r>
    <d v="2023-11-07T00:00:00"/>
    <s v="Charlie"/>
    <s v="West"/>
    <n v="6970.1"/>
    <n v="32"/>
    <x v="2"/>
    <n v="4266.6400000000003"/>
    <n v="4523.3599999999997"/>
    <s v="New"/>
    <n v="0.3"/>
    <s v="Bank Transfer"/>
    <s v="Retail"/>
    <s v="West-Charlie"/>
    <n v="136532.48000000001"/>
    <n v="144747.51999999999"/>
    <n v="8215.039999999979"/>
  </r>
  <r>
    <d v="2023-08-15T00:00:00"/>
    <s v="Alice"/>
    <s v="South"/>
    <n v="2373.02"/>
    <n v="4"/>
    <x v="0"/>
    <n v="4095.1"/>
    <n v="4134.55"/>
    <s v="Returning"/>
    <n v="0.09"/>
    <s v="Bank Transfer"/>
    <s v="Retail"/>
    <s v="South-Alice"/>
    <n v="16380.4"/>
    <n v="16538.2"/>
    <n v="157.80000000000109"/>
  </r>
  <r>
    <d v="2023-06-19T00:00:00"/>
    <s v="Eve"/>
    <s v="West"/>
    <n v="1263.76"/>
    <n v="18"/>
    <x v="1"/>
    <n v="117.63"/>
    <n v="576.44000000000005"/>
    <s v="New"/>
    <n v="0.18"/>
    <s v="Credit Card"/>
    <s v="Retail"/>
    <s v="West-Eve"/>
    <n v="2117.34"/>
    <n v="10375.920000000002"/>
    <n v="8258.5800000000017"/>
  </r>
  <r>
    <d v="2023-02-03T00:00:00"/>
    <s v="Charlie"/>
    <s v="North"/>
    <n v="1736.32"/>
    <n v="5"/>
    <x v="1"/>
    <n v="4483.8500000000004"/>
    <n v="4795.42"/>
    <s v="Returning"/>
    <n v="0.23"/>
    <s v="Cash"/>
    <s v="Online"/>
    <s v="North-Charlie"/>
    <n v="22419.25"/>
    <n v="23977.1"/>
    <n v="1557.8499999999985"/>
  </r>
  <r>
    <d v="2023-09-08T00:00:00"/>
    <s v="Charlie"/>
    <s v="North"/>
    <n v="119.72"/>
    <n v="20"/>
    <x v="2"/>
    <n v="193.27"/>
    <n v="297.69"/>
    <s v="New"/>
    <n v="0.22"/>
    <s v="Cash"/>
    <s v="Online"/>
    <s v="North-Charlie"/>
    <n v="3865.4"/>
    <n v="5953.8"/>
    <n v="2088.4"/>
  </r>
  <r>
    <d v="2023-09-04T00:00:00"/>
    <s v="Alice"/>
    <s v="North"/>
    <n v="7215.52"/>
    <n v="23"/>
    <x v="3"/>
    <n v="1236.25"/>
    <n v="1543.38"/>
    <s v="New"/>
    <n v="0.1"/>
    <s v="Bank Transfer"/>
    <s v="Online"/>
    <s v="North-Alice"/>
    <n v="28433.75"/>
    <n v="35497.740000000005"/>
    <n v="7063.9900000000052"/>
  </r>
  <r>
    <d v="2023-09-26T00:00:00"/>
    <s v="Eve"/>
    <s v="North"/>
    <n v="7350.77"/>
    <n v="11"/>
    <x v="3"/>
    <n v="210.33"/>
    <n v="552.29"/>
    <s v="Returning"/>
    <n v="0.18"/>
    <s v="Cash"/>
    <s v="Retail"/>
    <s v="North-Eve"/>
    <n v="2313.63"/>
    <n v="6075.19"/>
    <n v="3761.5599999999995"/>
  </r>
  <r>
    <d v="2023-05-21T00:00:00"/>
    <s v="David"/>
    <s v="East"/>
    <n v="5197.84"/>
    <n v="37"/>
    <x v="0"/>
    <n v="1712.43"/>
    <n v="1980.06"/>
    <s v="New"/>
    <n v="0.26"/>
    <s v="Cash"/>
    <s v="Online"/>
    <s v="East-David"/>
    <n v="63359.91"/>
    <n v="73262.22"/>
    <n v="9902.3099999999977"/>
  </r>
  <r>
    <d v="2023-10-01T00:00:00"/>
    <s v="Eve"/>
    <s v="East"/>
    <n v="1697.49"/>
    <n v="22"/>
    <x v="3"/>
    <n v="2593.64"/>
    <n v="2955.5099999999902"/>
    <s v="Returning"/>
    <n v="0"/>
    <s v="Bank Transfer"/>
    <s v="Retail"/>
    <s v="East-Eve"/>
    <n v="57060.079999999994"/>
    <n v="65021.219999999783"/>
    <n v="7961.1399999997884"/>
  </r>
  <r>
    <d v="2023-04-06T00:00:00"/>
    <s v="Bob"/>
    <s v="South"/>
    <n v="927.19"/>
    <n v="4"/>
    <x v="3"/>
    <n v="3993.39"/>
    <n v="4288.3"/>
    <s v="New"/>
    <n v="0.13"/>
    <s v="Credit Card"/>
    <s v="Online"/>
    <s v="South-Bob"/>
    <n v="15973.56"/>
    <n v="17153.2"/>
    <n v="1179.6400000000012"/>
  </r>
  <r>
    <d v="2023-08-15T00:00:00"/>
    <s v="David"/>
    <s v="West"/>
    <n v="289.38"/>
    <n v="29"/>
    <x v="0"/>
    <n v="1723.01"/>
    <n v="2197.42"/>
    <s v="New"/>
    <n v="7.0000000000000007E-2"/>
    <s v="Bank Transfer"/>
    <s v="Retail"/>
    <s v="West-David"/>
    <n v="49967.29"/>
    <n v="63725.18"/>
    <n v="13757.89"/>
  </r>
  <r>
    <d v="2023-02-08T00:00:00"/>
    <s v="Charlie"/>
    <s v="North"/>
    <n v="1740.91"/>
    <n v="44"/>
    <x v="2"/>
    <n v="3542.18"/>
    <n v="3578.49"/>
    <s v="Returning"/>
    <n v="0.12"/>
    <s v="Cash"/>
    <s v="Online"/>
    <s v="North-Charlie"/>
    <n v="155855.91999999998"/>
    <n v="157453.56"/>
    <n v="1597.640000000014"/>
  </r>
  <r>
    <d v="2023-10-29T00:00:00"/>
    <s v="David"/>
    <s v="North"/>
    <n v="8919.4699999999993"/>
    <n v="34"/>
    <x v="1"/>
    <n v="978.15"/>
    <n v="1040.21"/>
    <s v="New"/>
    <n v="0.12"/>
    <s v="Credit Card"/>
    <s v="Retail"/>
    <s v="North-David"/>
    <n v="33257.1"/>
    <n v="35367.14"/>
    <n v="2110.0400000000009"/>
  </r>
  <r>
    <d v="2023-01-29T00:00:00"/>
    <s v="Charlie"/>
    <s v="West"/>
    <n v="2491.21"/>
    <n v="13"/>
    <x v="0"/>
    <n v="3765.46"/>
    <n v="3860.56"/>
    <s v="Returning"/>
    <n v="0.22"/>
    <s v="Cash"/>
    <s v="Retail"/>
    <s v="West-Charlie"/>
    <n v="48950.98"/>
    <n v="50187.28"/>
    <n v="1236.2999999999956"/>
  </r>
  <r>
    <d v="2023-11-14T00:00:00"/>
    <s v="Charlie"/>
    <s v="West"/>
    <n v="3607.29"/>
    <n v="42"/>
    <x v="2"/>
    <n v="1218.18"/>
    <n v="1566.36"/>
    <s v="Returning"/>
    <n v="0.03"/>
    <s v="Credit Card"/>
    <s v="Retail"/>
    <s v="West-Charlie"/>
    <n v="51163.560000000005"/>
    <n v="65787.12"/>
    <n v="14623.55999999999"/>
  </r>
  <r>
    <d v="2023-09-02T00:00:00"/>
    <s v="David"/>
    <s v="South"/>
    <n v="1142.92"/>
    <n v="9"/>
    <x v="0"/>
    <n v="760.55"/>
    <n v="1086.8899999999901"/>
    <s v="Returning"/>
    <n v="0.15"/>
    <s v="Cash"/>
    <s v="Retail"/>
    <s v="South-David"/>
    <n v="6844.95"/>
    <n v="9782.0099999999111"/>
    <n v="2937.0599999999113"/>
  </r>
  <r>
    <d v="2023-08-24T00:00:00"/>
    <s v="Charlie"/>
    <s v="West"/>
    <n v="2301.38"/>
    <n v="42"/>
    <x v="2"/>
    <n v="967.77"/>
    <n v="1414.88"/>
    <s v="New"/>
    <n v="0.17"/>
    <s v="Bank Transfer"/>
    <s v="Online"/>
    <s v="West-Charlie"/>
    <n v="40646.339999999997"/>
    <n v="59424.960000000006"/>
    <n v="18778.62000000001"/>
  </r>
  <r>
    <d v="2023-07-04T00:00:00"/>
    <s v="Charlie"/>
    <s v="North"/>
    <n v="5240.32"/>
    <n v="31"/>
    <x v="0"/>
    <n v="951.21"/>
    <n v="1320.32"/>
    <s v="New"/>
    <n v="0.15"/>
    <s v="Cash"/>
    <s v="Online"/>
    <s v="North-Charlie"/>
    <n v="29487.510000000002"/>
    <n v="40929.919999999998"/>
    <n v="11442.409999999996"/>
  </r>
  <r>
    <d v="2023-09-29T00:00:00"/>
    <s v="Bob"/>
    <s v="North"/>
    <n v="6116.75"/>
    <n v="7"/>
    <x v="2"/>
    <n v="2588.67"/>
    <n v="2847.76"/>
    <s v="New"/>
    <n v="0.22"/>
    <s v="Cash"/>
    <s v="Retail"/>
    <s v="North-Bob"/>
    <n v="18120.690000000002"/>
    <n v="19934.32"/>
    <n v="1813.6299999999974"/>
  </r>
  <r>
    <d v="2023-08-24T00:00:00"/>
    <s v="Eve"/>
    <s v="North"/>
    <n v="2528.9899999999998"/>
    <n v="4"/>
    <x v="0"/>
    <n v="4231.75"/>
    <n v="4727.75"/>
    <s v="Returning"/>
    <n v="0.12"/>
    <s v="Credit Card"/>
    <s v="Retail"/>
    <s v="North-Eve"/>
    <n v="16927"/>
    <n v="18911"/>
    <n v="1984"/>
  </r>
  <r>
    <d v="2023-08-27T00:00:00"/>
    <s v="Eve"/>
    <s v="North"/>
    <n v="671.55"/>
    <n v="19"/>
    <x v="2"/>
    <n v="444.05"/>
    <n v="584.44000000000005"/>
    <s v="Returning"/>
    <n v="0.28000000000000003"/>
    <s v="Cash"/>
    <s v="Retail"/>
    <s v="North-Eve"/>
    <n v="8436.9500000000007"/>
    <n v="11104.36"/>
    <n v="2667.41"/>
  </r>
  <r>
    <d v="2023-09-23T00:00:00"/>
    <s v="Bob"/>
    <s v="North"/>
    <n v="3971.23"/>
    <n v="42"/>
    <x v="0"/>
    <n v="3549.43"/>
    <n v="3967.6899999999901"/>
    <s v="New"/>
    <n v="0.14000000000000001"/>
    <s v="Bank Transfer"/>
    <s v="Online"/>
    <s v="North-Bob"/>
    <n v="149076.06"/>
    <n v="166642.97999999957"/>
    <n v="17566.919999999576"/>
  </r>
  <r>
    <d v="2023-12-25T00:00:00"/>
    <s v="David"/>
    <s v="South"/>
    <n v="2418.61"/>
    <n v="30"/>
    <x v="1"/>
    <n v="3289.01"/>
    <n v="3508.14"/>
    <s v="New"/>
    <n v="0.17"/>
    <s v="Bank Transfer"/>
    <s v="Retail"/>
    <s v="South-David"/>
    <n v="98670.3"/>
    <n v="105244.2"/>
    <n v="6573.8999999999942"/>
  </r>
  <r>
    <d v="2023-12-06T00:00:00"/>
    <s v="Alice"/>
    <s v="North"/>
    <n v="2273.58"/>
    <n v="31"/>
    <x v="1"/>
    <n v="4368.97"/>
    <n v="4696.8500000000004"/>
    <s v="Returning"/>
    <n v="0.25"/>
    <s v="Bank Transfer"/>
    <s v="Retail"/>
    <s v="North-Alice"/>
    <n v="135438.07"/>
    <n v="145602.35"/>
    <n v="10164.279999999999"/>
  </r>
  <r>
    <d v="2023-03-06T00:00:00"/>
    <s v="Alice"/>
    <s v="South"/>
    <n v="9602.64"/>
    <n v="35"/>
    <x v="3"/>
    <n v="1258.53"/>
    <n v="1624.8899999999901"/>
    <s v="New"/>
    <n v="0.08"/>
    <s v="Credit Card"/>
    <s v="Online"/>
    <s v="South-Alice"/>
    <n v="44048.549999999996"/>
    <n v="56871.149999999652"/>
    <n v="12822.599999999657"/>
  </r>
  <r>
    <d v="2023-06-26T00:00:00"/>
    <s v="Alice"/>
    <s v="North"/>
    <n v="6201.37"/>
    <n v="21"/>
    <x v="2"/>
    <n v="2278.04"/>
    <n v="2598.58"/>
    <s v="Returning"/>
    <n v="0.02"/>
    <s v="Credit Card"/>
    <s v="Retail"/>
    <s v="North-Alice"/>
    <n v="47838.84"/>
    <n v="54570.18"/>
    <n v="6731.3400000000038"/>
  </r>
  <r>
    <d v="2023-01-03T00:00:00"/>
    <s v="Bob"/>
    <s v="East"/>
    <n v="5613.1"/>
    <n v="31"/>
    <x v="0"/>
    <n v="4632.8500000000004"/>
    <n v="4711.7"/>
    <s v="New"/>
    <n v="0.21"/>
    <s v="Cash"/>
    <s v="Retail"/>
    <s v="East-Bob"/>
    <n v="143618.35"/>
    <n v="146062.69999999998"/>
    <n v="2444.3499999999767"/>
  </r>
  <r>
    <d v="2023-05-22T00:00:00"/>
    <s v="Bob"/>
    <s v="East"/>
    <n v="4216.17"/>
    <n v="19"/>
    <x v="2"/>
    <n v="3316.97"/>
    <n v="3544.02"/>
    <s v="Returning"/>
    <n v="0.14000000000000001"/>
    <s v="Cash"/>
    <s v="Online"/>
    <s v="East-Bob"/>
    <n v="63022.429999999993"/>
    <n v="67336.38"/>
    <n v="4313.9500000000116"/>
  </r>
  <r>
    <d v="2023-06-07T00:00:00"/>
    <s v="Charlie"/>
    <s v="East"/>
    <n v="4346.55"/>
    <n v="31"/>
    <x v="1"/>
    <n v="1974.4"/>
    <n v="2259.5"/>
    <s v="New"/>
    <n v="0.27"/>
    <s v="Cash"/>
    <s v="Retail"/>
    <s v="East-Charlie"/>
    <n v="61206.400000000001"/>
    <n v="70044.5"/>
    <n v="8838.0999999999985"/>
  </r>
  <r>
    <d v="2023-11-20T00:00:00"/>
    <s v="Alice"/>
    <s v="East"/>
    <n v="5454.96"/>
    <n v="32"/>
    <x v="2"/>
    <n v="700.49"/>
    <n v="1126.52"/>
    <s v="New"/>
    <n v="0.28999999999999998"/>
    <s v="Credit Card"/>
    <s v="Retail"/>
    <s v="East-Alice"/>
    <n v="22415.68"/>
    <n v="36048.639999999999"/>
    <n v="13632.96"/>
  </r>
  <r>
    <d v="2023-05-26T00:00:00"/>
    <s v="David"/>
    <s v="South"/>
    <n v="6994.66"/>
    <n v="2"/>
    <x v="0"/>
    <n v="1349.3"/>
    <n v="1576.69"/>
    <s v="Returning"/>
    <n v="0.12"/>
    <s v="Credit Card"/>
    <s v="Online"/>
    <s v="South-David"/>
    <n v="2698.6"/>
    <n v="3153.38"/>
    <n v="454.7800000000002"/>
  </r>
  <r>
    <d v="2023-10-20T00:00:00"/>
    <s v="David"/>
    <s v="South"/>
    <n v="7051.25"/>
    <n v="10"/>
    <x v="2"/>
    <n v="2927.02"/>
    <n v="3387.21"/>
    <s v="Returning"/>
    <n v="0.12"/>
    <s v="Cash"/>
    <s v="Retail"/>
    <s v="South-David"/>
    <n v="29270.2"/>
    <n v="33872.1"/>
    <n v="4601.8999999999978"/>
  </r>
  <r>
    <d v="2023-06-02T00:00:00"/>
    <s v="Alice"/>
    <s v="West"/>
    <n v="1799.77"/>
    <n v="2"/>
    <x v="0"/>
    <n v="3604.93"/>
    <n v="3830.71"/>
    <s v="Returning"/>
    <n v="0.12"/>
    <s v="Credit Card"/>
    <s v="Online"/>
    <s v="West-Alice"/>
    <n v="7209.86"/>
    <n v="7661.42"/>
    <n v="451.5600000000004"/>
  </r>
  <r>
    <d v="2023-07-12T00:00:00"/>
    <s v="Alice"/>
    <s v="North"/>
    <n v="5051.12"/>
    <n v="2"/>
    <x v="1"/>
    <n v="665.89"/>
    <n v="944.79"/>
    <s v="New"/>
    <n v="0.1"/>
    <s v="Credit Card"/>
    <s v="Retail"/>
    <s v="North-Alice"/>
    <n v="1331.78"/>
    <n v="1889.58"/>
    <n v="557.79999999999995"/>
  </r>
  <r>
    <d v="2023-03-14T00:00:00"/>
    <s v="Alice"/>
    <s v="East"/>
    <n v="4178.3900000000003"/>
    <n v="24"/>
    <x v="1"/>
    <n v="3018.01"/>
    <n v="3418.19"/>
    <s v="Returning"/>
    <n v="0.23"/>
    <s v="Bank Transfer"/>
    <s v="Retail"/>
    <s v="East-Alice"/>
    <n v="72432.240000000005"/>
    <n v="82036.56"/>
    <n v="9604.3199999999924"/>
  </r>
  <r>
    <d v="2023-11-01T00:00:00"/>
    <s v="Bob"/>
    <s v="South"/>
    <n v="8718.2199999999993"/>
    <n v="17"/>
    <x v="1"/>
    <n v="2774.24"/>
    <n v="3069.9399999999901"/>
    <s v="Returning"/>
    <n v="0.23"/>
    <s v="Bank Transfer"/>
    <s v="Retail"/>
    <s v="South-Bob"/>
    <n v="47162.079999999994"/>
    <n v="52188.979999999829"/>
    <n v="5026.8999999998341"/>
  </r>
  <r>
    <d v="2023-12-10T00:00:00"/>
    <s v="Bob"/>
    <s v="North"/>
    <n v="6351.05"/>
    <n v="32"/>
    <x v="3"/>
    <n v="2594.08"/>
    <n v="3074.59"/>
    <s v="New"/>
    <n v="0.14000000000000001"/>
    <s v="Cash"/>
    <s v="Retail"/>
    <s v="North-Bob"/>
    <n v="83010.559999999998"/>
    <n v="98386.880000000005"/>
    <n v="15376.320000000007"/>
  </r>
  <r>
    <d v="2023-05-20T00:00:00"/>
    <s v="Bob"/>
    <s v="North"/>
    <n v="5371.79"/>
    <n v="16"/>
    <x v="1"/>
    <n v="3466.11"/>
    <n v="3799.67"/>
    <s v="Returning"/>
    <n v="0.01"/>
    <s v="Cash"/>
    <s v="Retail"/>
    <s v="North-Bob"/>
    <n v="55457.760000000002"/>
    <n v="60794.720000000001"/>
    <n v="5336.9599999999991"/>
  </r>
  <r>
    <d v="2023-07-06T00:00:00"/>
    <s v="Eve"/>
    <s v="South"/>
    <n v="1242.4100000000001"/>
    <n v="16"/>
    <x v="2"/>
    <n v="4195.38"/>
    <n v="4461.51"/>
    <s v="Returning"/>
    <n v="0.09"/>
    <s v="Bank Transfer"/>
    <s v="Online"/>
    <s v="South-Eve"/>
    <n v="67126.080000000002"/>
    <n v="71384.160000000003"/>
    <n v="4258.0800000000017"/>
  </r>
  <r>
    <d v="2023-10-20T00:00:00"/>
    <s v="David"/>
    <s v="East"/>
    <n v="6095.82"/>
    <n v="46"/>
    <x v="3"/>
    <n v="1648.8"/>
    <n v="1670.36"/>
    <s v="Returning"/>
    <n v="0.09"/>
    <s v="Credit Card"/>
    <s v="Retail"/>
    <s v="East-David"/>
    <n v="75844.800000000003"/>
    <n v="76836.56"/>
    <n v="991.75999999999476"/>
  </r>
  <r>
    <d v="2023-03-02T00:00:00"/>
    <s v="David"/>
    <s v="West"/>
    <n v="1260.32"/>
    <n v="39"/>
    <x v="1"/>
    <n v="4450.6099999999997"/>
    <n v="4663.3399999999901"/>
    <s v="New"/>
    <n v="0.24"/>
    <s v="Cash"/>
    <s v="Retail"/>
    <s v="West-David"/>
    <n v="173573.78999999998"/>
    <n v="181870.2599999996"/>
    <n v="8296.4699999996228"/>
  </r>
  <r>
    <d v="2023-07-17T00:00:00"/>
    <s v="Charlie"/>
    <s v="North"/>
    <n v="3438.35"/>
    <n v="31"/>
    <x v="2"/>
    <n v="845.14"/>
    <n v="1001.77"/>
    <s v="New"/>
    <n v="0.03"/>
    <s v="Cash"/>
    <s v="Online"/>
    <s v="North-Charlie"/>
    <n v="26199.34"/>
    <n v="31054.87"/>
    <n v="4855.5299999999988"/>
  </r>
  <r>
    <d v="2023-10-22T00:00:00"/>
    <s v="Bob"/>
    <s v="West"/>
    <n v="1514.14"/>
    <n v="43"/>
    <x v="2"/>
    <n v="906.47"/>
    <n v="1283.04"/>
    <s v="New"/>
    <n v="0.24"/>
    <s v="Cash"/>
    <s v="Online"/>
    <s v="West-Bob"/>
    <n v="38978.21"/>
    <n v="55170.720000000001"/>
    <n v="16192.510000000002"/>
  </r>
  <r>
    <d v="2023-11-15T00:00:00"/>
    <s v="Eve"/>
    <s v="East"/>
    <n v="6951.53"/>
    <n v="24"/>
    <x v="2"/>
    <n v="1370.52"/>
    <n v="1482.58"/>
    <s v="Returning"/>
    <n v="0.2"/>
    <s v="Credit Card"/>
    <s v="Retail"/>
    <s v="East-Eve"/>
    <n v="32892.479999999996"/>
    <n v="35581.919999999998"/>
    <n v="2689.4400000000023"/>
  </r>
  <r>
    <d v="2023-10-29T00:00:00"/>
    <s v="Eve"/>
    <s v="East"/>
    <n v="2141.9"/>
    <n v="1"/>
    <x v="0"/>
    <n v="641.67999999999995"/>
    <n v="752.24"/>
    <s v="New"/>
    <n v="0.22"/>
    <s v="Bank Transfer"/>
    <s v="Online"/>
    <s v="East-Eve"/>
    <n v="641.67999999999995"/>
    <n v="752.24"/>
    <n v="110.56000000000006"/>
  </r>
  <r>
    <d v="2023-12-10T00:00:00"/>
    <s v="David"/>
    <s v="West"/>
    <n v="3979.41"/>
    <n v="11"/>
    <x v="3"/>
    <n v="1190.08"/>
    <n v="1292.9399999999901"/>
    <s v="Returning"/>
    <n v="0.13"/>
    <s v="Cash"/>
    <s v="Retail"/>
    <s v="West-David"/>
    <n v="13090.88"/>
    <n v="14222.339999999891"/>
    <n v="1131.4599999998918"/>
  </r>
  <r>
    <d v="2023-01-11T00:00:00"/>
    <s v="Bob"/>
    <s v="East"/>
    <n v="8967.18"/>
    <n v="21"/>
    <x v="2"/>
    <n v="576.74"/>
    <n v="648.29"/>
    <s v="Returning"/>
    <n v="0.2"/>
    <s v="Bank Transfer"/>
    <s v="Online"/>
    <s v="East-Bob"/>
    <n v="12111.54"/>
    <n v="13614.09"/>
    <n v="1502.5499999999993"/>
  </r>
  <r>
    <d v="2023-03-03T00:00:00"/>
    <s v="Charlie"/>
    <s v="North"/>
    <n v="2122.73"/>
    <n v="4"/>
    <x v="0"/>
    <n v="4117.67"/>
    <n v="4280.0600000000004"/>
    <s v="Returning"/>
    <n v="0.18"/>
    <s v="Bank Transfer"/>
    <s v="Online"/>
    <s v="North-Charlie"/>
    <n v="16470.68"/>
    <n v="17120.240000000002"/>
    <n v="649.56000000000131"/>
  </r>
  <r>
    <d v="2023-11-29T00:00:00"/>
    <s v="Bob"/>
    <s v="West"/>
    <n v="5127.2700000000004"/>
    <n v="7"/>
    <x v="1"/>
    <n v="737.9"/>
    <n v="1182"/>
    <s v="New"/>
    <n v="0.23"/>
    <s v="Credit Card"/>
    <s v="Retail"/>
    <s v="West-Bob"/>
    <n v="5165.3"/>
    <n v="8274"/>
    <n v="3108.7"/>
  </r>
  <r>
    <d v="2023-08-14T00:00:00"/>
    <s v="Alice"/>
    <s v="East"/>
    <n v="4250.79"/>
    <n v="26"/>
    <x v="2"/>
    <n v="3749.12"/>
    <n v="4138.83"/>
    <s v="New"/>
    <n v="0.13"/>
    <s v="Credit Card"/>
    <s v="Online"/>
    <s v="East-Alice"/>
    <n v="97477.119999999995"/>
    <n v="107609.58"/>
    <n v="10132.460000000006"/>
  </r>
  <r>
    <d v="2023-06-02T00:00:00"/>
    <s v="Bob"/>
    <s v="West"/>
    <n v="279.43"/>
    <n v="47"/>
    <x v="0"/>
    <n v="287.17"/>
    <n v="657.44"/>
    <s v="Returning"/>
    <n v="0.14000000000000001"/>
    <s v="Credit Card"/>
    <s v="Retail"/>
    <s v="West-Bob"/>
    <n v="13496.990000000002"/>
    <n v="30899.680000000004"/>
    <n v="17402.690000000002"/>
  </r>
  <r>
    <d v="2023-07-18T00:00:00"/>
    <s v="Alice"/>
    <s v="North"/>
    <n v="7948.31"/>
    <n v="12"/>
    <x v="2"/>
    <n v="4745.18"/>
    <n v="5145.88"/>
    <s v="Returning"/>
    <n v="0.19"/>
    <s v="Credit Card"/>
    <s v="Online"/>
    <s v="North-Alice"/>
    <n v="56942.16"/>
    <n v="61750.559999999998"/>
    <n v="4808.3999999999942"/>
  </r>
  <r>
    <d v="2023-02-21T00:00:00"/>
    <s v="Alice"/>
    <s v="East"/>
    <n v="783.55"/>
    <n v="31"/>
    <x v="3"/>
    <n v="3570.24"/>
    <n v="3712.25"/>
    <s v="New"/>
    <n v="0.03"/>
    <s v="Credit Card"/>
    <s v="Online"/>
    <s v="East-Alice"/>
    <n v="110677.43999999999"/>
    <n v="115079.75"/>
    <n v="4402.3100000000122"/>
  </r>
  <r>
    <d v="2023-09-17T00:00:00"/>
    <s v="Charlie"/>
    <s v="North"/>
    <n v="4795.12"/>
    <n v="17"/>
    <x v="3"/>
    <n v="83.64"/>
    <n v="528.49"/>
    <s v="New"/>
    <n v="0.13"/>
    <s v="Credit Card"/>
    <s v="Online"/>
    <s v="North-Charlie"/>
    <n v="1421.88"/>
    <n v="8984.33"/>
    <n v="7562.45"/>
  </r>
  <r>
    <d v="2023-02-28T00:00:00"/>
    <s v="David"/>
    <s v="East"/>
    <n v="5650.72"/>
    <n v="33"/>
    <x v="1"/>
    <n v="3831.09"/>
    <n v="3908.37"/>
    <s v="New"/>
    <n v="0.28999999999999998"/>
    <s v="Cash"/>
    <s v="Retail"/>
    <s v="East-David"/>
    <n v="126425.97"/>
    <n v="128976.20999999999"/>
    <n v="2550.2399999999907"/>
  </r>
  <r>
    <d v="2023-03-13T00:00:00"/>
    <s v="Bob"/>
    <s v="South"/>
    <n v="6321.42"/>
    <n v="11"/>
    <x v="2"/>
    <n v="2594.71"/>
    <n v="2769.52"/>
    <s v="Returning"/>
    <n v="0.01"/>
    <s v="Bank Transfer"/>
    <s v="Retail"/>
    <s v="South-Bob"/>
    <n v="28541.81"/>
    <n v="30464.720000000001"/>
    <n v="1922.9099999999999"/>
  </r>
  <r>
    <d v="2023-05-28T00:00:00"/>
    <s v="Alice"/>
    <s v="East"/>
    <n v="6917.45"/>
    <n v="28"/>
    <x v="0"/>
    <n v="3907.86"/>
    <n v="4205.37"/>
    <s v="New"/>
    <n v="0.09"/>
    <s v="Credit Card"/>
    <s v="Online"/>
    <s v="East-Alice"/>
    <n v="109420.08"/>
    <n v="117750.36"/>
    <n v="8330.2799999999988"/>
  </r>
  <r>
    <d v="2023-12-15T00:00:00"/>
    <s v="Bob"/>
    <s v="West"/>
    <n v="2607.4"/>
    <n v="32"/>
    <x v="1"/>
    <n v="2636.36"/>
    <n v="2696.78"/>
    <s v="New"/>
    <n v="0.09"/>
    <s v="Cash"/>
    <s v="Retail"/>
    <s v="West-Bob"/>
    <n v="84363.520000000004"/>
    <n v="86296.960000000006"/>
    <n v="1933.4400000000023"/>
  </r>
  <r>
    <d v="2023-03-04T00:00:00"/>
    <s v="David"/>
    <s v="East"/>
    <n v="198.79"/>
    <n v="1"/>
    <x v="2"/>
    <n v="3223.07"/>
    <n v="3590.83"/>
    <s v="New"/>
    <n v="0.19"/>
    <s v="Bank Transfer"/>
    <s v="Retail"/>
    <s v="East-David"/>
    <n v="3223.07"/>
    <n v="3590.83"/>
    <n v="367.75999999999976"/>
  </r>
  <r>
    <d v="2023-11-06T00:00:00"/>
    <s v="David"/>
    <s v="North"/>
    <n v="7262.09"/>
    <n v="47"/>
    <x v="1"/>
    <n v="3942.34"/>
    <n v="4142.09"/>
    <s v="Returning"/>
    <n v="0.03"/>
    <s v="Credit Card"/>
    <s v="Retail"/>
    <s v="North-David"/>
    <n v="185289.98"/>
    <n v="194678.23"/>
    <n v="9388.25"/>
  </r>
  <r>
    <d v="2023-08-31T00:00:00"/>
    <s v="Eve"/>
    <s v="North"/>
    <n v="5403"/>
    <n v="28"/>
    <x v="0"/>
    <n v="2055.2800000000002"/>
    <n v="2449.64"/>
    <s v="New"/>
    <n v="0.19"/>
    <s v="Credit Card"/>
    <s v="Online"/>
    <s v="North-Eve"/>
    <n v="57547.840000000004"/>
    <n v="68589.919999999998"/>
    <n v="11042.079999999994"/>
  </r>
  <r>
    <d v="2024-01-01T00:00:00"/>
    <s v="David"/>
    <s v="East"/>
    <n v="8377.57"/>
    <n v="42"/>
    <x v="1"/>
    <n v="63.41"/>
    <n v="314.93"/>
    <s v="Returning"/>
    <n v="0.03"/>
    <s v="Cash"/>
    <s v="Retail"/>
    <s v="East-David"/>
    <n v="2663.22"/>
    <n v="13227.06"/>
    <n v="10563.84"/>
  </r>
  <r>
    <d v="2023-11-26T00:00:00"/>
    <s v="Charlie"/>
    <s v="West"/>
    <n v="8231.74"/>
    <n v="7"/>
    <x v="1"/>
    <n v="4257.24"/>
    <n v="4355.87"/>
    <s v="Returning"/>
    <n v="0.03"/>
    <s v="Bank Transfer"/>
    <s v="Online"/>
    <s v="West-Charlie"/>
    <n v="29800.68"/>
    <n v="30491.09"/>
    <n v="690.40999999999985"/>
  </r>
  <r>
    <d v="2023-04-17T00:00:00"/>
    <s v="Alice"/>
    <s v="South"/>
    <n v="8448.93"/>
    <n v="2"/>
    <x v="1"/>
    <n v="1935.41"/>
    <n v="2305.44"/>
    <s v="Returning"/>
    <n v="0.22"/>
    <s v="Credit Card"/>
    <s v="Online"/>
    <s v="South-Alice"/>
    <n v="3870.82"/>
    <n v="4610.88"/>
    <n v="740.06"/>
  </r>
  <r>
    <d v="2023-08-14T00:00:00"/>
    <s v="Eve"/>
    <s v="West"/>
    <n v="4902.4399999999996"/>
    <n v="42"/>
    <x v="2"/>
    <n v="2505.41"/>
    <n v="2638.96"/>
    <s v="New"/>
    <n v="0.1"/>
    <s v="Bank Transfer"/>
    <s v="Online"/>
    <s v="West-Eve"/>
    <n v="105227.22"/>
    <n v="110836.32"/>
    <n v="5609.1000000000058"/>
  </r>
  <r>
    <d v="2023-11-09T00:00:00"/>
    <s v="Charlie"/>
    <s v="South"/>
    <n v="3402.92"/>
    <n v="24"/>
    <x v="0"/>
    <n v="88.44"/>
    <n v="338.94"/>
    <s v="New"/>
    <n v="0.28999999999999998"/>
    <s v="Cash"/>
    <s v="Online"/>
    <s v="South-Charlie"/>
    <n v="2122.56"/>
    <n v="8134.5599999999995"/>
    <n v="6012"/>
  </r>
  <r>
    <d v="2023-08-06T00:00:00"/>
    <s v="Bob"/>
    <s v="North"/>
    <n v="7936.43"/>
    <n v="4"/>
    <x v="3"/>
    <n v="2485.86"/>
    <n v="2532.87"/>
    <s v="New"/>
    <n v="0.01"/>
    <s v="Credit Card"/>
    <s v="Online"/>
    <s v="North-Bob"/>
    <n v="9943.44"/>
    <n v="10131.48"/>
    <n v="188.03999999999905"/>
  </r>
  <r>
    <d v="2023-08-29T00:00:00"/>
    <s v="Alice"/>
    <s v="West"/>
    <n v="4567.8100000000004"/>
    <n v="44"/>
    <x v="2"/>
    <n v="4933.1099999999997"/>
    <n v="5245.86"/>
    <s v="Returning"/>
    <n v="0.13"/>
    <s v="Bank Transfer"/>
    <s v="Retail"/>
    <s v="West-Alice"/>
    <n v="217056.84"/>
    <n v="230817.84"/>
    <n v="13761"/>
  </r>
  <r>
    <d v="2023-09-16T00:00:00"/>
    <s v="David"/>
    <s v="South"/>
    <n v="1916.08"/>
    <n v="19"/>
    <x v="3"/>
    <n v="1427.42"/>
    <n v="1763.69"/>
    <s v="New"/>
    <n v="0.03"/>
    <s v="Cash"/>
    <s v="Retail"/>
    <s v="South-David"/>
    <n v="27120.980000000003"/>
    <n v="33510.11"/>
    <n v="6389.1299999999974"/>
  </r>
  <r>
    <d v="2023-09-19T00:00:00"/>
    <s v="Alice"/>
    <s v="East"/>
    <n v="8564.24"/>
    <n v="26"/>
    <x v="3"/>
    <n v="2007.32"/>
    <n v="2202.87"/>
    <s v="Returning"/>
    <n v="0.11"/>
    <s v="Cash"/>
    <s v="Online"/>
    <s v="East-Alice"/>
    <n v="52190.32"/>
    <n v="57274.619999999995"/>
    <n v="5084.2999999999956"/>
  </r>
  <r>
    <d v="2023-01-05T00:00:00"/>
    <s v="Bob"/>
    <s v="North"/>
    <n v="8837.34"/>
    <n v="11"/>
    <x v="2"/>
    <n v="3451.59"/>
    <n v="3929.26"/>
    <s v="New"/>
    <n v="0.3"/>
    <s v="Credit Card"/>
    <s v="Retail"/>
    <s v="North-Bob"/>
    <n v="37967.490000000005"/>
    <n v="43221.86"/>
    <n v="5254.3699999999953"/>
  </r>
  <r>
    <d v="2023-09-18T00:00:00"/>
    <s v="Eve"/>
    <s v="East"/>
    <n v="4716.47"/>
    <n v="40"/>
    <x v="2"/>
    <n v="4083.23"/>
    <n v="4521.57"/>
    <s v="New"/>
    <n v="0.27"/>
    <s v="Bank Transfer"/>
    <s v="Retail"/>
    <s v="East-Eve"/>
    <n v="163329.20000000001"/>
    <n v="180862.8"/>
    <n v="17533.599999999977"/>
  </r>
  <r>
    <d v="2023-02-23T00:00:00"/>
    <s v="Eve"/>
    <s v="North"/>
    <n v="849.43"/>
    <n v="43"/>
    <x v="0"/>
    <n v="2116.09"/>
    <n v="2472.98"/>
    <s v="New"/>
    <n v="0.01"/>
    <s v="Credit Card"/>
    <s v="Retail"/>
    <s v="North-Eve"/>
    <n v="90991.87000000001"/>
    <n v="106338.14"/>
    <n v="15346.26999999999"/>
  </r>
  <r>
    <d v="2023-02-16T00:00:00"/>
    <s v="Eve"/>
    <s v="West"/>
    <n v="3939.48"/>
    <n v="11"/>
    <x v="0"/>
    <n v="1582.86"/>
    <n v="1942.55"/>
    <s v="New"/>
    <n v="0.17"/>
    <s v="Credit Card"/>
    <s v="Retail"/>
    <s v="West-Eve"/>
    <n v="17411.46"/>
    <n v="21368.05"/>
    <n v="3956.59"/>
  </r>
  <r>
    <d v="2023-08-03T00:00:00"/>
    <s v="David"/>
    <s v="West"/>
    <n v="8055.02"/>
    <n v="45"/>
    <x v="1"/>
    <n v="4692.24"/>
    <n v="4825.92"/>
    <s v="Returning"/>
    <n v="0.19"/>
    <s v="Bank Transfer"/>
    <s v="Retail"/>
    <s v="West-David"/>
    <n v="211150.8"/>
    <n v="217166.4"/>
    <n v="6015.6000000000058"/>
  </r>
  <r>
    <d v="2023-06-26T00:00:00"/>
    <s v="Charlie"/>
    <s v="North"/>
    <n v="9027.56"/>
    <n v="3"/>
    <x v="3"/>
    <n v="3401.87"/>
    <n v="3733.71"/>
    <s v="Returning"/>
    <n v="0.06"/>
    <s v="Bank Transfer"/>
    <s v="Retail"/>
    <s v="North-Charlie"/>
    <n v="10205.61"/>
    <n v="11201.130000000001"/>
    <n v="995.52000000000044"/>
  </r>
  <r>
    <d v="2023-01-09T00:00:00"/>
    <s v="Charlie"/>
    <s v="North"/>
    <n v="2114.38"/>
    <n v="12"/>
    <x v="0"/>
    <n v="639.16"/>
    <n v="746.28"/>
    <s v="Returning"/>
    <n v="0.04"/>
    <s v="Bank Transfer"/>
    <s v="Retail"/>
    <s v="North-Charlie"/>
    <n v="7669.92"/>
    <n v="8955.36"/>
    <n v="1285.4400000000005"/>
  </r>
  <r>
    <d v="2023-04-09T00:00:00"/>
    <s v="Alice"/>
    <s v="North"/>
    <n v="763.04"/>
    <n v="3"/>
    <x v="1"/>
    <n v="391.19"/>
    <n v="471.75"/>
    <s v="Returning"/>
    <n v="0.27"/>
    <s v="Cash"/>
    <s v="Online"/>
    <s v="North-Alice"/>
    <n v="1173.57"/>
    <n v="1415.25"/>
    <n v="241.68000000000006"/>
  </r>
  <r>
    <d v="2023-01-20T00:00:00"/>
    <s v="David"/>
    <s v="West"/>
    <n v="8785.77"/>
    <n v="42"/>
    <x v="0"/>
    <n v="2443.5700000000002"/>
    <n v="2943.31"/>
    <s v="New"/>
    <n v="0.28999999999999998"/>
    <s v="Cash"/>
    <s v="Online"/>
    <s v="West-David"/>
    <n v="102629.94"/>
    <n v="123619.02"/>
    <n v="20989.08"/>
  </r>
  <r>
    <d v="2023-08-29T00:00:00"/>
    <s v="Eve"/>
    <s v="South"/>
    <n v="3955.11"/>
    <n v="27"/>
    <x v="2"/>
    <n v="1139.45"/>
    <n v="1454.41"/>
    <s v="Returning"/>
    <n v="0.3"/>
    <s v="Bank Transfer"/>
    <s v="Online"/>
    <s v="South-Eve"/>
    <n v="30765.15"/>
    <n v="39269.07"/>
    <n v="8503.9199999999983"/>
  </r>
  <r>
    <d v="2023-03-02T00:00:00"/>
    <s v="Eve"/>
    <s v="East"/>
    <n v="5463.43"/>
    <n v="49"/>
    <x v="0"/>
    <n v="1307.22"/>
    <n v="1528.4"/>
    <s v="Returning"/>
    <n v="0.24"/>
    <s v="Cash"/>
    <s v="Retail"/>
    <s v="East-Eve"/>
    <n v="64053.78"/>
    <n v="74891.600000000006"/>
    <n v="10837.820000000007"/>
  </r>
  <r>
    <d v="2023-06-27T00:00:00"/>
    <s v="Bob"/>
    <s v="East"/>
    <n v="9683.85"/>
    <n v="2"/>
    <x v="3"/>
    <n v="4394.58"/>
    <n v="4545.78"/>
    <s v="Returning"/>
    <n v="0.2"/>
    <s v="Credit Card"/>
    <s v="Retail"/>
    <s v="East-Bob"/>
    <n v="8789.16"/>
    <n v="9091.56"/>
    <n v="302.39999999999964"/>
  </r>
  <r>
    <d v="2023-12-04T00:00:00"/>
    <s v="Bob"/>
    <s v="West"/>
    <n v="758.99"/>
    <n v="49"/>
    <x v="0"/>
    <n v="493.35"/>
    <n v="799.27"/>
    <s v="New"/>
    <n v="0.1"/>
    <s v="Bank Transfer"/>
    <s v="Online"/>
    <s v="West-Bob"/>
    <n v="24174.15"/>
    <n v="39164.229999999996"/>
    <n v="14990.079999999994"/>
  </r>
  <r>
    <d v="2023-03-03T00:00:00"/>
    <s v="Eve"/>
    <s v="East"/>
    <n v="6518.35"/>
    <n v="16"/>
    <x v="3"/>
    <n v="3591.05"/>
    <n v="3625.35"/>
    <s v="Returning"/>
    <n v="0.05"/>
    <s v="Credit Card"/>
    <s v="Retail"/>
    <s v="East-Eve"/>
    <n v="57456.800000000003"/>
    <n v="58005.599999999999"/>
    <n v="548.79999999999563"/>
  </r>
  <r>
    <d v="2023-05-25T00:00:00"/>
    <s v="Eve"/>
    <s v="North"/>
    <n v="833.64"/>
    <n v="2"/>
    <x v="2"/>
    <n v="1392.15"/>
    <n v="1448.54"/>
    <s v="Returning"/>
    <n v="0.02"/>
    <s v="Bank Transfer"/>
    <s v="Retail"/>
    <s v="North-Eve"/>
    <n v="2784.3"/>
    <n v="2897.08"/>
    <n v="112.77999999999975"/>
  </r>
  <r>
    <d v="2023-08-04T00:00:00"/>
    <s v="David"/>
    <s v="South"/>
    <n v="3817.14"/>
    <n v="30"/>
    <x v="3"/>
    <n v="3813.62"/>
    <n v="3839.72"/>
    <s v="New"/>
    <n v="0.21"/>
    <s v="Credit Card"/>
    <s v="Online"/>
    <s v="South-David"/>
    <n v="114408.59999999999"/>
    <n v="115191.59999999999"/>
    <n v="783"/>
  </r>
  <r>
    <d v="2023-01-03T00:00:00"/>
    <s v="Charlie"/>
    <s v="East"/>
    <n v="8057.76"/>
    <n v="20"/>
    <x v="0"/>
    <n v="3625.94"/>
    <n v="3880.53"/>
    <s v="New"/>
    <n v="0.24"/>
    <s v="Bank Transfer"/>
    <s v="Online"/>
    <s v="East-Charlie"/>
    <n v="72518.8"/>
    <n v="77610.600000000006"/>
    <n v="5091.8000000000029"/>
  </r>
  <r>
    <d v="2023-06-09T00:00:00"/>
    <s v="Bob"/>
    <s v="South"/>
    <n v="4391.38"/>
    <n v="38"/>
    <x v="1"/>
    <n v="86.59"/>
    <n v="390.89"/>
    <s v="Returning"/>
    <n v="0.25"/>
    <s v="Credit Card"/>
    <s v="Online"/>
    <s v="South-Bob"/>
    <n v="3290.42"/>
    <n v="14853.82"/>
    <n v="11563.4"/>
  </r>
  <r>
    <d v="2023-08-15T00:00:00"/>
    <s v="Charlie"/>
    <s v="North"/>
    <n v="9972.11"/>
    <n v="28"/>
    <x v="2"/>
    <n v="2570.2199999999998"/>
    <n v="2610.8399999999901"/>
    <s v="Returning"/>
    <n v="0.27"/>
    <s v="Bank Transfer"/>
    <s v="Retail"/>
    <s v="North-Charlie"/>
    <n v="71966.159999999989"/>
    <n v="73103.519999999728"/>
    <n v="1137.3599999997386"/>
  </r>
  <r>
    <d v="2023-09-26T00:00:00"/>
    <s v="David"/>
    <s v="East"/>
    <n v="5634.69"/>
    <n v="25"/>
    <x v="0"/>
    <n v="739.63"/>
    <n v="1103.03"/>
    <s v="New"/>
    <n v="0.26"/>
    <s v="Bank Transfer"/>
    <s v="Retail"/>
    <s v="East-David"/>
    <n v="18490.75"/>
    <n v="27575.75"/>
    <n v="9085"/>
  </r>
  <r>
    <d v="2023-04-30T00:00:00"/>
    <s v="Eve"/>
    <s v="West"/>
    <n v="3279.51"/>
    <n v="32"/>
    <x v="2"/>
    <n v="4337.82"/>
    <n v="4460.71"/>
    <s v="Returning"/>
    <n v="0.3"/>
    <s v="Cash"/>
    <s v="Retail"/>
    <s v="West-Eve"/>
    <n v="138810.23999999999"/>
    <n v="142742.72"/>
    <n v="3932.4800000000105"/>
  </r>
  <r>
    <d v="2023-03-30T00:00:00"/>
    <s v="Charlie"/>
    <s v="South"/>
    <n v="2279.1"/>
    <n v="10"/>
    <x v="2"/>
    <n v="4364.3500000000004"/>
    <n v="4710.1000000000004"/>
    <s v="New"/>
    <n v="7.0000000000000007E-2"/>
    <s v="Credit Card"/>
    <s v="Online"/>
    <s v="South-Charlie"/>
    <n v="43643.5"/>
    <n v="47101"/>
    <n v="3457.5"/>
  </r>
  <r>
    <d v="2023-11-25T00:00:00"/>
    <s v="Eve"/>
    <s v="North"/>
    <n v="3570.15"/>
    <n v="42"/>
    <x v="0"/>
    <n v="2120.81"/>
    <n v="2611.94"/>
    <s v="Returning"/>
    <n v="0.23"/>
    <s v="Cash"/>
    <s v="Online"/>
    <s v="North-Eve"/>
    <n v="89074.02"/>
    <n v="109701.48"/>
    <n v="20627.459999999992"/>
  </r>
  <r>
    <d v="2023-03-09T00:00:00"/>
    <s v="Eve"/>
    <s v="South"/>
    <n v="3788.08"/>
    <n v="40"/>
    <x v="0"/>
    <n v="2249.7600000000002"/>
    <n v="2598.4"/>
    <s v="Returning"/>
    <n v="0.18"/>
    <s v="Credit Card"/>
    <s v="Retail"/>
    <s v="South-Eve"/>
    <n v="89990.400000000009"/>
    <n v="103936"/>
    <n v="13945.599999999991"/>
  </r>
  <r>
    <d v="2023-12-23T00:00:00"/>
    <s v="Alice"/>
    <s v="East"/>
    <n v="780.27"/>
    <n v="33"/>
    <x v="1"/>
    <n v="1551.25"/>
    <n v="1994.01"/>
    <s v="Returning"/>
    <n v="0.08"/>
    <s v="Cash"/>
    <s v="Online"/>
    <s v="East-Alice"/>
    <n v="51191.25"/>
    <n v="65802.33"/>
    <n v="14611.080000000002"/>
  </r>
  <r>
    <d v="2023-04-08T00:00:00"/>
    <s v="Charlie"/>
    <s v="East"/>
    <n v="3758.78"/>
    <n v="13"/>
    <x v="2"/>
    <n v="3597.2"/>
    <n v="4071.8199999999902"/>
    <s v="Returning"/>
    <n v="0.28999999999999998"/>
    <s v="Bank Transfer"/>
    <s v="Online"/>
    <s v="East-Charlie"/>
    <n v="46763.6"/>
    <n v="52933.659999999873"/>
    <n v="6170.059999999874"/>
  </r>
  <r>
    <d v="2023-09-24T00:00:00"/>
    <s v="Charlie"/>
    <s v="West"/>
    <n v="4695.96"/>
    <n v="41"/>
    <x v="2"/>
    <n v="1825.37"/>
    <n v="2073.88"/>
    <s v="Returning"/>
    <n v="0.27"/>
    <s v="Cash"/>
    <s v="Retail"/>
    <s v="West-Charlie"/>
    <n v="74840.17"/>
    <n v="85029.08"/>
    <n v="10188.910000000003"/>
  </r>
  <r>
    <d v="2023-04-15T00:00:00"/>
    <s v="Eve"/>
    <s v="North"/>
    <n v="7255.1"/>
    <n v="42"/>
    <x v="0"/>
    <n v="1375.57"/>
    <n v="1729.71"/>
    <s v="New"/>
    <n v="0.04"/>
    <s v="Cash"/>
    <s v="Online"/>
    <s v="North-Eve"/>
    <n v="57773.939999999995"/>
    <n v="72647.820000000007"/>
    <n v="14873.880000000012"/>
  </r>
  <r>
    <d v="2023-11-19T00:00:00"/>
    <s v="David"/>
    <s v="North"/>
    <n v="6601.62"/>
    <n v="47"/>
    <x v="3"/>
    <n v="2189.54"/>
    <n v="2617"/>
    <s v="New"/>
    <n v="0.01"/>
    <s v="Bank Transfer"/>
    <s v="Online"/>
    <s v="North-David"/>
    <n v="102908.38"/>
    <n v="122999"/>
    <n v="20090.619999999995"/>
  </r>
  <r>
    <d v="2023-05-03T00:00:00"/>
    <s v="Alice"/>
    <s v="West"/>
    <n v="7116.78"/>
    <n v="37"/>
    <x v="0"/>
    <n v="502.86"/>
    <n v="687.6"/>
    <s v="Returning"/>
    <n v="0.21"/>
    <s v="Cash"/>
    <s v="Online"/>
    <s v="West-Alice"/>
    <n v="18605.82"/>
    <n v="25441.200000000001"/>
    <n v="6835.380000000001"/>
  </r>
  <r>
    <d v="2023-01-29T00:00:00"/>
    <s v="Eve"/>
    <s v="West"/>
    <n v="182.8"/>
    <n v="16"/>
    <x v="2"/>
    <n v="3745.69"/>
    <n v="3883.77"/>
    <s v="Returning"/>
    <n v="0.18"/>
    <s v="Bank Transfer"/>
    <s v="Retail"/>
    <s v="West-Eve"/>
    <n v="59931.040000000001"/>
    <n v="62140.32"/>
    <n v="2209.2799999999988"/>
  </r>
  <r>
    <d v="2023-05-17T00:00:00"/>
    <s v="Bob"/>
    <s v="North"/>
    <n v="2254.91"/>
    <n v="45"/>
    <x v="0"/>
    <n v="112.35"/>
    <n v="586.17999999999995"/>
    <s v="Returning"/>
    <n v="0.28000000000000003"/>
    <s v="Credit Card"/>
    <s v="Retail"/>
    <s v="North-Bob"/>
    <n v="5055.75"/>
    <n v="26378.1"/>
    <n v="21322.35"/>
  </r>
  <r>
    <d v="2023-07-14T00:00:00"/>
    <s v="Bob"/>
    <s v="South"/>
    <n v="6650.67"/>
    <n v="22"/>
    <x v="1"/>
    <n v="3240.2"/>
    <n v="3606.0899999999901"/>
    <s v="New"/>
    <n v="7.0000000000000007E-2"/>
    <s v="Cash"/>
    <s v="Online"/>
    <s v="South-Bob"/>
    <n v="71284.399999999994"/>
    <n v="79333.979999999778"/>
    <n v="8049.5799999997835"/>
  </r>
  <r>
    <d v="2023-08-14T00:00:00"/>
    <s v="Alice"/>
    <s v="South"/>
    <n v="4891.49"/>
    <n v="20"/>
    <x v="3"/>
    <n v="955.18"/>
    <n v="1072.82"/>
    <s v="New"/>
    <n v="0.03"/>
    <s v="Bank Transfer"/>
    <s v="Retail"/>
    <s v="South-Alice"/>
    <n v="19103.599999999999"/>
    <n v="21456.399999999998"/>
    <n v="2352.7999999999993"/>
  </r>
  <r>
    <d v="2023-11-28T00:00:00"/>
    <s v="David"/>
    <s v="West"/>
    <n v="152.6"/>
    <n v="43"/>
    <x v="0"/>
    <n v="1200.4000000000001"/>
    <n v="1430.45"/>
    <s v="New"/>
    <n v="0.08"/>
    <s v="Bank Transfer"/>
    <s v="Retail"/>
    <s v="West-David"/>
    <n v="51617.200000000004"/>
    <n v="61509.35"/>
    <n v="9892.1499999999942"/>
  </r>
  <r>
    <d v="2023-06-19T00:00:00"/>
    <s v="Eve"/>
    <s v="South"/>
    <n v="8064.5"/>
    <n v="27"/>
    <x v="1"/>
    <n v="3196.38"/>
    <n v="3596.64"/>
    <s v="New"/>
    <n v="0.01"/>
    <s v="Cash"/>
    <s v="Retail"/>
    <s v="South-Eve"/>
    <n v="86302.260000000009"/>
    <n v="97109.28"/>
    <n v="10807.01999999999"/>
  </r>
  <r>
    <d v="2023-01-09T00:00:00"/>
    <s v="Charlie"/>
    <s v="North"/>
    <n v="7750.81"/>
    <n v="41"/>
    <x v="2"/>
    <n v="4965.07"/>
    <n v="5243.13"/>
    <s v="New"/>
    <n v="0.01"/>
    <s v="Credit Card"/>
    <s v="Online"/>
    <s v="North-Charlie"/>
    <n v="203567.87"/>
    <n v="214968.33000000002"/>
    <n v="11400.460000000021"/>
  </r>
  <r>
    <d v="2023-02-09T00:00:00"/>
    <s v="Alice"/>
    <s v="East"/>
    <n v="5529.35"/>
    <n v="16"/>
    <x v="0"/>
    <n v="3899.7"/>
    <n v="4228.18"/>
    <s v="New"/>
    <n v="0.27"/>
    <s v="Cash"/>
    <s v="Retail"/>
    <s v="East-Alice"/>
    <n v="62395.199999999997"/>
    <n v="67650.880000000005"/>
    <n v="5255.6800000000076"/>
  </r>
  <r>
    <d v="2023-01-25T00:00:00"/>
    <s v="David"/>
    <s v="East"/>
    <n v="757.99"/>
    <n v="34"/>
    <x v="2"/>
    <n v="1167.9100000000001"/>
    <n v="1547.26"/>
    <s v="New"/>
    <n v="0.11"/>
    <s v="Bank Transfer"/>
    <s v="Online"/>
    <s v="East-David"/>
    <n v="39708.94"/>
    <n v="52606.84"/>
    <n v="12897.899999999994"/>
  </r>
  <r>
    <d v="2023-09-18T00:00:00"/>
    <s v="Charlie"/>
    <s v="South"/>
    <n v="7688.5"/>
    <n v="32"/>
    <x v="1"/>
    <n v="921.32"/>
    <n v="1236.0999999999999"/>
    <s v="New"/>
    <n v="0.12"/>
    <s v="Credit Card"/>
    <s v="Online"/>
    <s v="South-Charlie"/>
    <n v="29482.240000000002"/>
    <n v="39555.199999999997"/>
    <n v="10072.959999999995"/>
  </r>
  <r>
    <d v="2023-08-14T00:00:00"/>
    <s v="Bob"/>
    <s v="West"/>
    <n v="5878.76"/>
    <n v="26"/>
    <x v="2"/>
    <n v="4337.8500000000004"/>
    <n v="4612.49"/>
    <s v="Returning"/>
    <n v="0.01"/>
    <s v="Cash"/>
    <s v="Retail"/>
    <s v="West-Bob"/>
    <n v="112784.1"/>
    <n v="119924.73999999999"/>
    <n v="7140.6399999999849"/>
  </r>
  <r>
    <d v="2023-05-04T00:00:00"/>
    <s v="Bob"/>
    <s v="West"/>
    <n v="7841.4"/>
    <n v="25"/>
    <x v="1"/>
    <n v="2248.71"/>
    <n v="2626.02"/>
    <s v="New"/>
    <n v="0.08"/>
    <s v="Bank Transfer"/>
    <s v="Online"/>
    <s v="West-Bob"/>
    <n v="56217.75"/>
    <n v="65650.5"/>
    <n v="9432.75"/>
  </r>
  <r>
    <d v="2023-02-07T00:00:00"/>
    <s v="Charlie"/>
    <s v="West"/>
    <n v="7542.3"/>
    <n v="2"/>
    <x v="1"/>
    <n v="728.41"/>
    <n v="1094.92"/>
    <s v="New"/>
    <n v="0.24"/>
    <s v="Cash"/>
    <s v="Retail"/>
    <s v="West-Charlie"/>
    <n v="1456.82"/>
    <n v="2189.84"/>
    <n v="733.02000000000021"/>
  </r>
  <r>
    <d v="2023-11-24T00:00:00"/>
    <s v="Alice"/>
    <s v="West"/>
    <n v="8049.72"/>
    <n v="12"/>
    <x v="1"/>
    <n v="4317.95"/>
    <n v="4636.59"/>
    <s v="New"/>
    <n v="0.18"/>
    <s v="Credit Card"/>
    <s v="Retail"/>
    <s v="West-Alice"/>
    <n v="51815.399999999994"/>
    <n v="55639.08"/>
    <n v="3823.6800000000076"/>
  </r>
  <r>
    <d v="2023-09-08T00:00:00"/>
    <s v="Bob"/>
    <s v="West"/>
    <n v="5228.28"/>
    <n v="40"/>
    <x v="0"/>
    <n v="4089.66"/>
    <n v="4275.96"/>
    <s v="New"/>
    <n v="0.23"/>
    <s v="Credit Card"/>
    <s v="Online"/>
    <s v="West-Bob"/>
    <n v="163586.4"/>
    <n v="171038.4"/>
    <n v="7452"/>
  </r>
  <r>
    <d v="2023-06-25T00:00:00"/>
    <s v="Eve"/>
    <s v="South"/>
    <n v="1489.21"/>
    <n v="9"/>
    <x v="2"/>
    <n v="4920.34"/>
    <n v="5129.1899999999996"/>
    <s v="Returning"/>
    <n v="0.13"/>
    <s v="Credit Card"/>
    <s v="Online"/>
    <s v="South-Eve"/>
    <n v="44283.06"/>
    <n v="46162.71"/>
    <n v="1879.6500000000015"/>
  </r>
  <r>
    <d v="2023-03-31T00:00:00"/>
    <s v="Charlie"/>
    <s v="East"/>
    <n v="6744.46"/>
    <n v="12"/>
    <x v="2"/>
    <n v="4553.2299999999996"/>
    <n v="5038.74"/>
    <s v="New"/>
    <n v="0.09"/>
    <s v="Credit Card"/>
    <s v="Retail"/>
    <s v="East-Charlie"/>
    <n v="54638.759999999995"/>
    <n v="60464.88"/>
    <n v="5826.1200000000026"/>
  </r>
  <r>
    <d v="2023-02-06T00:00:00"/>
    <s v="Charlie"/>
    <s v="East"/>
    <n v="6242.69"/>
    <n v="26"/>
    <x v="3"/>
    <n v="4266.3599999999997"/>
    <n v="4331.4299999999903"/>
    <s v="Returning"/>
    <n v="0.14000000000000001"/>
    <s v="Credit Card"/>
    <s v="Retail"/>
    <s v="East-Charlie"/>
    <n v="110925.35999999999"/>
    <n v="112617.17999999975"/>
    <n v="1691.8199999997596"/>
  </r>
  <r>
    <d v="2023-11-12T00:00:00"/>
    <s v="Bob"/>
    <s v="South"/>
    <n v="7448.31"/>
    <n v="9"/>
    <x v="3"/>
    <n v="310.24"/>
    <n v="451.81"/>
    <s v="Returning"/>
    <n v="0.1"/>
    <s v="Cash"/>
    <s v="Retail"/>
    <s v="South-Bob"/>
    <n v="2792.16"/>
    <n v="4066.29"/>
    <n v="1274.1300000000001"/>
  </r>
  <r>
    <d v="2023-06-25T00:00:00"/>
    <s v="Alice"/>
    <s v="West"/>
    <n v="1781.82"/>
    <n v="10"/>
    <x v="3"/>
    <n v="566.86"/>
    <n v="818.14"/>
    <s v="Returning"/>
    <n v="0.25"/>
    <s v="Credit Card"/>
    <s v="Retail"/>
    <s v="West-Alice"/>
    <n v="5668.6"/>
    <n v="8181.4"/>
    <n v="2512.7999999999993"/>
  </r>
  <r>
    <d v="2023-10-11T00:00:00"/>
    <s v="Eve"/>
    <s v="South"/>
    <n v="2030.25"/>
    <n v="32"/>
    <x v="3"/>
    <n v="2866.47"/>
    <n v="3286.47"/>
    <s v="New"/>
    <n v="0.09"/>
    <s v="Credit Card"/>
    <s v="Online"/>
    <s v="South-Eve"/>
    <n v="91727.039999999994"/>
    <n v="105167.03999999999"/>
    <n v="13440"/>
  </r>
  <r>
    <d v="2023-03-22T00:00:00"/>
    <s v="Alice"/>
    <s v="East"/>
    <n v="8915.0499999999993"/>
    <n v="34"/>
    <x v="2"/>
    <n v="2680.82"/>
    <n v="2771.02"/>
    <s v="New"/>
    <n v="0.2"/>
    <s v="Bank Transfer"/>
    <s v="Online"/>
    <s v="East-Alice"/>
    <n v="91147.88"/>
    <n v="94214.68"/>
    <n v="3066.7999999999884"/>
  </r>
  <r>
    <d v="2023-04-24T00:00:00"/>
    <s v="David"/>
    <s v="North"/>
    <n v="7524.78"/>
    <n v="48"/>
    <x v="1"/>
    <n v="2316.92"/>
    <n v="2462.63"/>
    <s v="New"/>
    <n v="0.04"/>
    <s v="Credit Card"/>
    <s v="Online"/>
    <s v="North-David"/>
    <n v="111212.16"/>
    <n v="118206.24"/>
    <n v="6994.0800000000017"/>
  </r>
  <r>
    <d v="2023-02-09T00:00:00"/>
    <s v="David"/>
    <s v="South"/>
    <n v="9091.4599999999991"/>
    <n v="20"/>
    <x v="1"/>
    <n v="2014.11"/>
    <n v="2056.35"/>
    <s v="Returning"/>
    <n v="0.21"/>
    <s v="Bank Transfer"/>
    <s v="Retail"/>
    <s v="South-David"/>
    <n v="40282.199999999997"/>
    <n v="41127"/>
    <n v="844.80000000000291"/>
  </r>
  <r>
    <d v="2023-10-28T00:00:00"/>
    <s v="Bob"/>
    <s v="West"/>
    <n v="7611.28"/>
    <n v="39"/>
    <x v="0"/>
    <n v="2184.4899999999998"/>
    <n v="2540.4199999999901"/>
    <s v="Returning"/>
    <n v="0.27"/>
    <s v="Bank Transfer"/>
    <s v="Online"/>
    <s v="West-Bob"/>
    <n v="85195.109999999986"/>
    <n v="99076.379999999612"/>
    <n v="13881.269999999626"/>
  </r>
  <r>
    <d v="2023-08-12T00:00:00"/>
    <s v="Bob"/>
    <s v="East"/>
    <n v="6011.84"/>
    <n v="2"/>
    <x v="1"/>
    <n v="2868.02"/>
    <n v="2994.74"/>
    <s v="Returning"/>
    <n v="0.18"/>
    <s v="Bank Transfer"/>
    <s v="Online"/>
    <s v="East-Bob"/>
    <n v="5736.04"/>
    <n v="5989.48"/>
    <n v="253.4399999999996"/>
  </r>
  <r>
    <d v="2023-11-14T00:00:00"/>
    <s v="Bob"/>
    <s v="East"/>
    <n v="6575.91"/>
    <n v="1"/>
    <x v="2"/>
    <n v="60.28"/>
    <n v="260.73"/>
    <s v="Returning"/>
    <n v="0.17"/>
    <s v="Cash"/>
    <s v="Online"/>
    <s v="East-Bob"/>
    <n v="60.28"/>
    <n v="260.73"/>
    <n v="200.45000000000002"/>
  </r>
  <r>
    <d v="2023-12-15T00:00:00"/>
    <s v="David"/>
    <s v="East"/>
    <n v="8902.3700000000008"/>
    <n v="36"/>
    <x v="2"/>
    <n v="1340.51"/>
    <n v="1567.92"/>
    <s v="New"/>
    <n v="0.28999999999999998"/>
    <s v="Cash"/>
    <s v="Online"/>
    <s v="East-David"/>
    <n v="48258.36"/>
    <n v="56445.120000000003"/>
    <n v="8186.760000000002"/>
  </r>
  <r>
    <d v="2023-04-25T00:00:00"/>
    <s v="Alice"/>
    <s v="East"/>
    <n v="5830.19"/>
    <n v="24"/>
    <x v="2"/>
    <n v="2615.48"/>
    <n v="3062.22"/>
    <s v="New"/>
    <n v="0.19"/>
    <s v="Bank Transfer"/>
    <s v="Retail"/>
    <s v="East-Alice"/>
    <n v="62771.520000000004"/>
    <n v="73493.279999999999"/>
    <n v="10721.759999999995"/>
  </r>
  <r>
    <d v="2023-07-05T00:00:00"/>
    <s v="Alice"/>
    <s v="West"/>
    <n v="6360.67"/>
    <n v="27"/>
    <x v="0"/>
    <n v="3624.97"/>
    <n v="3836.52"/>
    <s v="New"/>
    <n v="0.08"/>
    <s v="Cash"/>
    <s v="Online"/>
    <s v="West-Alice"/>
    <n v="97874.189999999988"/>
    <n v="103586.04"/>
    <n v="5711.8500000000058"/>
  </r>
  <r>
    <d v="2023-11-19T00:00:00"/>
    <s v="Bob"/>
    <s v="North"/>
    <n v="1649.12"/>
    <n v="2"/>
    <x v="3"/>
    <n v="912.08"/>
    <n v="993.24"/>
    <s v="Returning"/>
    <n v="0.09"/>
    <s v="Credit Card"/>
    <s v="Online"/>
    <s v="North-Bob"/>
    <n v="1824.16"/>
    <n v="1986.48"/>
    <n v="162.31999999999994"/>
  </r>
  <r>
    <d v="2023-02-25T00:00:00"/>
    <s v="Eve"/>
    <s v="East"/>
    <n v="4791.82"/>
    <n v="31"/>
    <x v="1"/>
    <n v="2757.06"/>
    <n v="3023.97"/>
    <s v="Returning"/>
    <n v="0.21"/>
    <s v="Cash"/>
    <s v="Online"/>
    <s v="East-Eve"/>
    <n v="85468.86"/>
    <n v="93743.069999999992"/>
    <n v="8274.2099999999919"/>
  </r>
  <r>
    <d v="2023-02-09T00:00:00"/>
    <s v="Alice"/>
    <s v="South"/>
    <n v="7192.33"/>
    <n v="14"/>
    <x v="2"/>
    <n v="3586.58"/>
    <n v="4068.43"/>
    <s v="New"/>
    <n v="0.22"/>
    <s v="Credit Card"/>
    <s v="Online"/>
    <s v="South-Alice"/>
    <n v="50212.119999999995"/>
    <n v="56958.02"/>
    <n v="6745.9000000000015"/>
  </r>
  <r>
    <d v="2023-12-20T00:00:00"/>
    <s v="David"/>
    <s v="North"/>
    <n v="2782.33"/>
    <n v="2"/>
    <x v="2"/>
    <n v="2250.91"/>
    <n v="2558.6799999999998"/>
    <s v="New"/>
    <n v="0.09"/>
    <s v="Credit Card"/>
    <s v="Retail"/>
    <s v="North-David"/>
    <n v="4501.82"/>
    <n v="5117.3599999999997"/>
    <n v="615.54"/>
  </r>
  <r>
    <d v="2023-02-09T00:00:00"/>
    <s v="Charlie"/>
    <s v="East"/>
    <n v="2102.3200000000002"/>
    <n v="29"/>
    <x v="3"/>
    <n v="184.05"/>
    <n v="675.91"/>
    <s v="Returning"/>
    <n v="0.1"/>
    <s v="Cash"/>
    <s v="Retail"/>
    <s v="East-Charlie"/>
    <n v="5337.4500000000007"/>
    <n v="19601.39"/>
    <n v="14263.939999999999"/>
  </r>
  <r>
    <d v="2023-12-13T00:00:00"/>
    <s v="Charlie"/>
    <s v="North"/>
    <n v="3206.89"/>
    <n v="15"/>
    <x v="2"/>
    <n v="2273.88"/>
    <n v="2696.02"/>
    <s v="New"/>
    <n v="0.3"/>
    <s v="Cash"/>
    <s v="Online"/>
    <s v="North-Charlie"/>
    <n v="34108.200000000004"/>
    <n v="40440.300000000003"/>
    <n v="6332.0999999999985"/>
  </r>
  <r>
    <d v="2023-08-25T00:00:00"/>
    <s v="Charlie"/>
    <s v="South"/>
    <n v="2490.86"/>
    <n v="12"/>
    <x v="1"/>
    <n v="1517.4"/>
    <n v="1545.02"/>
    <s v="New"/>
    <n v="0.03"/>
    <s v="Bank Transfer"/>
    <s v="Retail"/>
    <s v="South-Charlie"/>
    <n v="18208.800000000003"/>
    <n v="18540.239999999998"/>
    <n v="331.43999999999505"/>
  </r>
  <r>
    <d v="2023-10-16T00:00:00"/>
    <s v="Eve"/>
    <s v="East"/>
    <n v="2227.64"/>
    <n v="37"/>
    <x v="0"/>
    <n v="4651.7700000000004"/>
    <n v="4984.3900000000003"/>
    <s v="Returning"/>
    <n v="0.12"/>
    <s v="Cash"/>
    <s v="Retail"/>
    <s v="East-Eve"/>
    <n v="172115.49000000002"/>
    <n v="184422.43000000002"/>
    <n v="12306.940000000002"/>
  </r>
  <r>
    <d v="2023-09-19T00:00:00"/>
    <s v="Bob"/>
    <s v="South"/>
    <n v="4306.0200000000004"/>
    <n v="28"/>
    <x v="2"/>
    <n v="666.84"/>
    <n v="817.36"/>
    <s v="Returning"/>
    <n v="0.02"/>
    <s v="Cash"/>
    <s v="Retail"/>
    <s v="South-Bob"/>
    <n v="18671.52"/>
    <n v="22886.080000000002"/>
    <n v="4214.5600000000013"/>
  </r>
  <r>
    <d v="2023-08-04T00:00:00"/>
    <s v="David"/>
    <s v="West"/>
    <n v="9087.6"/>
    <n v="20"/>
    <x v="1"/>
    <n v="3279.76"/>
    <n v="3563.97"/>
    <s v="Returning"/>
    <n v="0.25"/>
    <s v="Cash"/>
    <s v="Retail"/>
    <s v="West-David"/>
    <n v="65595.200000000012"/>
    <n v="71279.399999999994"/>
    <n v="5684.1999999999825"/>
  </r>
  <r>
    <d v="2023-05-27T00:00:00"/>
    <s v="Eve"/>
    <s v="East"/>
    <n v="5119.8900000000003"/>
    <n v="39"/>
    <x v="2"/>
    <n v="310.95999999999998"/>
    <n v="457.84"/>
    <s v="New"/>
    <n v="0.03"/>
    <s v="Credit Card"/>
    <s v="Online"/>
    <s v="East-Eve"/>
    <n v="12127.439999999999"/>
    <n v="17855.759999999998"/>
    <n v="5728.32"/>
  </r>
  <r>
    <d v="2023-12-02T00:00:00"/>
    <s v="David"/>
    <s v="East"/>
    <n v="1960.41"/>
    <n v="24"/>
    <x v="3"/>
    <n v="2258.54"/>
    <n v="2439.4899999999998"/>
    <s v="Returning"/>
    <n v="0.2"/>
    <s v="Credit Card"/>
    <s v="Retail"/>
    <s v="East-David"/>
    <n v="54204.959999999999"/>
    <n v="58547.759999999995"/>
    <n v="4342.7999999999956"/>
  </r>
  <r>
    <d v="2023-06-17T00:00:00"/>
    <s v="David"/>
    <s v="East"/>
    <n v="862.02"/>
    <n v="21"/>
    <x v="2"/>
    <n v="2792.2"/>
    <n v="3254.5499999999902"/>
    <s v="New"/>
    <n v="0.02"/>
    <s v="Credit Card"/>
    <s v="Retail"/>
    <s v="East-David"/>
    <n v="58636.2"/>
    <n v="68345.549999999799"/>
    <n v="9709.3499999998021"/>
  </r>
  <r>
    <d v="2023-04-02T00:00:00"/>
    <s v="Bob"/>
    <s v="East"/>
    <n v="6991.95"/>
    <n v="10"/>
    <x v="2"/>
    <n v="1524.88"/>
    <n v="1636.14"/>
    <s v="New"/>
    <n v="0.2"/>
    <s v="Bank Transfer"/>
    <s v="Online"/>
    <s v="East-Bob"/>
    <n v="15248.800000000001"/>
    <n v="16361.400000000001"/>
    <n v="1112.6000000000004"/>
  </r>
  <r>
    <d v="2023-12-19T00:00:00"/>
    <s v="Charlie"/>
    <s v="West"/>
    <n v="3889.71"/>
    <n v="46"/>
    <x v="0"/>
    <n v="2302.62"/>
    <n v="2740.93"/>
    <s v="Returning"/>
    <n v="0.25"/>
    <s v="Bank Transfer"/>
    <s v="Online"/>
    <s v="West-Charlie"/>
    <n v="105920.51999999999"/>
    <n v="126082.78"/>
    <n v="20162.260000000009"/>
  </r>
  <r>
    <d v="2023-02-28T00:00:00"/>
    <s v="Bob"/>
    <s v="East"/>
    <n v="8236.1299999999992"/>
    <n v="14"/>
    <x v="3"/>
    <n v="859.59"/>
    <n v="884.51"/>
    <s v="New"/>
    <n v="0.12"/>
    <s v="Bank Transfer"/>
    <s v="Online"/>
    <s v="East-Bob"/>
    <n v="12034.26"/>
    <n v="12383.14"/>
    <n v="348.8799999999992"/>
  </r>
  <r>
    <d v="2023-02-28T00:00:00"/>
    <s v="Eve"/>
    <s v="North"/>
    <n v="6629.16"/>
    <n v="37"/>
    <x v="3"/>
    <n v="1555.41"/>
    <n v="1609.94"/>
    <s v="Returning"/>
    <n v="0.16"/>
    <s v="Credit Card"/>
    <s v="Online"/>
    <s v="North-Eve"/>
    <n v="57550.170000000006"/>
    <n v="59567.78"/>
    <n v="2017.6099999999933"/>
  </r>
  <r>
    <d v="2023-10-31T00:00:00"/>
    <s v="Eve"/>
    <s v="East"/>
    <n v="7982.79"/>
    <n v="18"/>
    <x v="0"/>
    <n v="3124.48"/>
    <n v="3553.27"/>
    <s v="Returning"/>
    <n v="0.12"/>
    <s v="Cash"/>
    <s v="Retail"/>
    <s v="East-Eve"/>
    <n v="56240.639999999999"/>
    <n v="63958.86"/>
    <n v="7718.2200000000012"/>
  </r>
  <r>
    <d v="2023-06-18T00:00:00"/>
    <s v="Eve"/>
    <s v="West"/>
    <n v="2792.27"/>
    <n v="24"/>
    <x v="2"/>
    <n v="1543.91"/>
    <n v="1862.88"/>
    <s v="New"/>
    <n v="0.09"/>
    <s v="Bank Transfer"/>
    <s v="Online"/>
    <s v="West-Eve"/>
    <n v="37053.840000000004"/>
    <n v="44709.120000000003"/>
    <n v="7655.2799999999988"/>
  </r>
  <r>
    <d v="2023-09-26T00:00:00"/>
    <s v="Bob"/>
    <s v="East"/>
    <n v="6954.35"/>
    <n v="14"/>
    <x v="1"/>
    <n v="4503.7299999999996"/>
    <n v="4879.8799999999901"/>
    <s v="New"/>
    <n v="0.24"/>
    <s v="Bank Transfer"/>
    <s v="Retail"/>
    <s v="East-Bob"/>
    <n v="63052.219999999994"/>
    <n v="68318.319999999861"/>
    <n v="5266.0999999998676"/>
  </r>
  <r>
    <d v="2023-12-29T00:00:00"/>
    <s v="David"/>
    <s v="North"/>
    <n v="2714.21"/>
    <n v="34"/>
    <x v="3"/>
    <n v="3160.61"/>
    <n v="3273.22"/>
    <s v="Returning"/>
    <n v="0.08"/>
    <s v="Credit Card"/>
    <s v="Retail"/>
    <s v="North-David"/>
    <n v="107460.74"/>
    <n v="111289.48"/>
    <n v="3828.7399999999907"/>
  </r>
  <r>
    <d v="2023-02-14T00:00:00"/>
    <s v="David"/>
    <s v="West"/>
    <n v="9396.7800000000007"/>
    <n v="12"/>
    <x v="3"/>
    <n v="2221.31"/>
    <n v="2494.48"/>
    <s v="Returning"/>
    <n v="0.22"/>
    <s v="Bank Transfer"/>
    <s v="Online"/>
    <s v="West-David"/>
    <n v="26655.72"/>
    <n v="29933.760000000002"/>
    <n v="3278.0400000000009"/>
  </r>
  <r>
    <d v="2023-12-11T00:00:00"/>
    <s v="Alice"/>
    <s v="West"/>
    <n v="6400.11"/>
    <n v="22"/>
    <x v="2"/>
    <n v="241.85"/>
    <n v="613.09"/>
    <s v="Returning"/>
    <n v="0.06"/>
    <s v="Cash"/>
    <s v="Online"/>
    <s v="West-Alice"/>
    <n v="5320.7"/>
    <n v="13487.980000000001"/>
    <n v="8167.2800000000016"/>
  </r>
  <r>
    <d v="2023-06-30T00:00:00"/>
    <s v="Eve"/>
    <s v="North"/>
    <n v="3312.67"/>
    <n v="6"/>
    <x v="2"/>
    <n v="2522.7600000000002"/>
    <n v="2840.14"/>
    <s v="Returning"/>
    <n v="7.0000000000000007E-2"/>
    <s v="Credit Card"/>
    <s v="Retail"/>
    <s v="North-Eve"/>
    <n v="15136.560000000001"/>
    <n v="17040.84"/>
    <n v="1904.2799999999988"/>
  </r>
  <r>
    <d v="2023-06-19T00:00:00"/>
    <s v="David"/>
    <s v="North"/>
    <n v="2768.17"/>
    <n v="36"/>
    <x v="3"/>
    <n v="3835.64"/>
    <n v="4076.77"/>
    <s v="Returning"/>
    <n v="0.1"/>
    <s v="Credit Card"/>
    <s v="Retail"/>
    <s v="North-David"/>
    <n v="138083.04"/>
    <n v="146763.72"/>
    <n v="8680.679999999993"/>
  </r>
  <r>
    <d v="2023-12-22T00:00:00"/>
    <s v="Alice"/>
    <s v="North"/>
    <n v="1990.17"/>
    <n v="45"/>
    <x v="2"/>
    <n v="1364.51"/>
    <n v="1844.8"/>
    <s v="Returning"/>
    <n v="0.18"/>
    <s v="Cash"/>
    <s v="Online"/>
    <s v="North-Alice"/>
    <n v="61402.95"/>
    <n v="83016"/>
    <n v="21613.050000000003"/>
  </r>
  <r>
    <d v="2023-07-10T00:00:00"/>
    <s v="David"/>
    <s v="North"/>
    <n v="6976.95"/>
    <n v="36"/>
    <x v="1"/>
    <n v="4043.53"/>
    <n v="4384.8500000000004"/>
    <s v="New"/>
    <n v="0.14000000000000001"/>
    <s v="Cash"/>
    <s v="Online"/>
    <s v="North-David"/>
    <n v="145567.08000000002"/>
    <n v="157854.6"/>
    <n v="12287.51999999999"/>
  </r>
  <r>
    <d v="2023-06-04T00:00:00"/>
    <s v="Eve"/>
    <s v="North"/>
    <n v="2265.2800000000002"/>
    <n v="22"/>
    <x v="3"/>
    <n v="1296.44"/>
    <n v="1751.24"/>
    <s v="New"/>
    <n v="0.22"/>
    <s v="Cash"/>
    <s v="Online"/>
    <s v="North-Eve"/>
    <n v="28521.68"/>
    <n v="38527.279999999999"/>
    <n v="10005.599999999999"/>
  </r>
  <r>
    <d v="2023-07-07T00:00:00"/>
    <s v="Charlie"/>
    <s v="West"/>
    <n v="5993.5"/>
    <n v="14"/>
    <x v="1"/>
    <n v="4127.54"/>
    <n v="4495.13"/>
    <s v="New"/>
    <n v="0.06"/>
    <s v="Bank Transfer"/>
    <s v="Retail"/>
    <s v="West-Charlie"/>
    <n v="57785.56"/>
    <n v="62931.82"/>
    <n v="5146.260000000002"/>
  </r>
  <r>
    <d v="2023-01-07T00:00:00"/>
    <s v="Eve"/>
    <s v="West"/>
    <n v="2719.89"/>
    <n v="16"/>
    <x v="1"/>
    <n v="472.08"/>
    <n v="842.46"/>
    <s v="New"/>
    <n v="0"/>
    <s v="Cash"/>
    <s v="Retail"/>
    <s v="West-Eve"/>
    <n v="7553.28"/>
    <n v="13479.36"/>
    <n v="5926.0800000000008"/>
  </r>
  <r>
    <d v="2023-05-13T00:00:00"/>
    <s v="Bob"/>
    <s v="East"/>
    <n v="6653.49"/>
    <n v="36"/>
    <x v="2"/>
    <n v="4337.6099999999997"/>
    <n v="4386.82"/>
    <s v="Returning"/>
    <n v="0.23"/>
    <s v="Credit Card"/>
    <s v="Online"/>
    <s v="East-Bob"/>
    <n v="156153.96"/>
    <n v="157925.51999999999"/>
    <n v="1771.5599999999977"/>
  </r>
  <r>
    <d v="2023-08-23T00:00:00"/>
    <s v="David"/>
    <s v="East"/>
    <n v="8167.9"/>
    <n v="25"/>
    <x v="1"/>
    <n v="2520.9699999999998"/>
    <n v="2707.1099999999901"/>
    <s v="New"/>
    <n v="0.25"/>
    <s v="Cash"/>
    <s v="Retail"/>
    <s v="East-David"/>
    <n v="63024.249999999993"/>
    <n v="67677.749999999753"/>
    <n v="4653.4999999997599"/>
  </r>
  <r>
    <d v="2023-02-14T00:00:00"/>
    <s v="David"/>
    <s v="South"/>
    <n v="7802.45"/>
    <n v="32"/>
    <x v="2"/>
    <n v="1517.86"/>
    <n v="1948.46"/>
    <s v="New"/>
    <n v="0.02"/>
    <s v="Credit Card"/>
    <s v="Online"/>
    <s v="South-David"/>
    <n v="48571.519999999997"/>
    <n v="62350.720000000001"/>
    <n v="13779.200000000004"/>
  </r>
  <r>
    <d v="2023-11-10T00:00:00"/>
    <s v="Bob"/>
    <s v="East"/>
    <n v="7632.43"/>
    <n v="33"/>
    <x v="0"/>
    <n v="1362.31"/>
    <n v="1486.29"/>
    <s v="Returning"/>
    <n v="0.18"/>
    <s v="Credit Card"/>
    <s v="Retail"/>
    <s v="East-Bob"/>
    <n v="44956.229999999996"/>
    <n v="49047.57"/>
    <n v="4091.3400000000038"/>
  </r>
  <r>
    <d v="2023-09-06T00:00:00"/>
    <s v="Bob"/>
    <s v="East"/>
    <n v="1958.45"/>
    <n v="45"/>
    <x v="2"/>
    <n v="2188.4499999999998"/>
    <n v="2255.0499999999902"/>
    <s v="New"/>
    <n v="0.11"/>
    <s v="Bank Transfer"/>
    <s v="Retail"/>
    <s v="East-Bob"/>
    <n v="98480.249999999985"/>
    <n v="101477.24999999956"/>
    <n v="2996.999999999578"/>
  </r>
  <r>
    <d v="2023-01-31T00:00:00"/>
    <s v="Charlie"/>
    <s v="North"/>
    <n v="975.01"/>
    <n v="36"/>
    <x v="1"/>
    <n v="4995.3"/>
    <n v="5165.09"/>
    <s v="Returning"/>
    <n v="0.24"/>
    <s v="Cash"/>
    <s v="Online"/>
    <s v="North-Charlie"/>
    <n v="179830.80000000002"/>
    <n v="185943.24"/>
    <n v="6112.4399999999732"/>
  </r>
  <r>
    <d v="2023-01-23T00:00:00"/>
    <s v="David"/>
    <s v="North"/>
    <n v="7019.59"/>
    <n v="20"/>
    <x v="0"/>
    <n v="1140.6199999999999"/>
    <n v="1258.6299999999901"/>
    <s v="Returning"/>
    <n v="0.26"/>
    <s v="Bank Transfer"/>
    <s v="Online"/>
    <s v="North-David"/>
    <n v="22812.399999999998"/>
    <n v="25172.599999999802"/>
    <n v="2360.1999999998043"/>
  </r>
  <r>
    <d v="2023-06-09T00:00:00"/>
    <s v="David"/>
    <s v="East"/>
    <n v="3746.64"/>
    <n v="18"/>
    <x v="2"/>
    <n v="560.91999999999996"/>
    <n v="1024.31"/>
    <s v="Returning"/>
    <n v="0.26"/>
    <s v="Cash"/>
    <s v="Online"/>
    <s v="East-David"/>
    <n v="10096.56"/>
    <n v="18437.579999999998"/>
    <n v="8341.0199999999986"/>
  </r>
  <r>
    <d v="2023-12-29T00:00:00"/>
    <s v="Charlie"/>
    <s v="South"/>
    <n v="4380.2299999999996"/>
    <n v="38"/>
    <x v="1"/>
    <n v="2945.92"/>
    <n v="3381.22"/>
    <s v="Returning"/>
    <n v="0.23"/>
    <s v="Cash"/>
    <s v="Retail"/>
    <s v="South-Charlie"/>
    <n v="111944.96000000001"/>
    <n v="128486.35999999999"/>
    <n v="16541.39999999998"/>
  </r>
  <r>
    <d v="2023-06-07T00:00:00"/>
    <s v="Alice"/>
    <s v="North"/>
    <n v="408.38"/>
    <n v="3"/>
    <x v="3"/>
    <n v="2468.29"/>
    <n v="2723.13"/>
    <s v="Returning"/>
    <n v="0.08"/>
    <s v="Cash"/>
    <s v="Retail"/>
    <s v="North-Alice"/>
    <n v="7404.87"/>
    <n v="8169.39"/>
    <n v="764.52000000000044"/>
  </r>
  <r>
    <d v="2023-02-08T00:00:00"/>
    <s v="Charlie"/>
    <s v="East"/>
    <n v="2669.81"/>
    <n v="23"/>
    <x v="3"/>
    <n v="2644.77"/>
    <n v="2684.83"/>
    <s v="New"/>
    <n v="0.24"/>
    <s v="Cash"/>
    <s v="Online"/>
    <s v="East-Charlie"/>
    <n v="60829.71"/>
    <n v="61751.09"/>
    <n v="921.37999999999738"/>
  </r>
  <r>
    <d v="2023-03-23T00:00:00"/>
    <s v="Eve"/>
    <s v="East"/>
    <n v="433.4"/>
    <n v="32"/>
    <x v="2"/>
    <n v="3351.33"/>
    <n v="3711.47"/>
    <s v="New"/>
    <n v="0.16"/>
    <s v="Cash"/>
    <s v="Retail"/>
    <s v="East-Eve"/>
    <n v="107242.56"/>
    <n v="118767.03999999999"/>
    <n v="11524.479999999996"/>
  </r>
  <r>
    <d v="2023-12-22T00:00:00"/>
    <s v="David"/>
    <s v="West"/>
    <n v="8803.94"/>
    <n v="45"/>
    <x v="2"/>
    <n v="1372.36"/>
    <n v="1687.83"/>
    <s v="New"/>
    <n v="0.02"/>
    <s v="Credit Card"/>
    <s v="Online"/>
    <s v="West-David"/>
    <n v="61756.2"/>
    <n v="75952.349999999991"/>
    <n v="14196.149999999994"/>
  </r>
  <r>
    <d v="2023-09-15T00:00:00"/>
    <s v="Bob"/>
    <s v="South"/>
    <n v="2509.63"/>
    <n v="16"/>
    <x v="3"/>
    <n v="4557.79"/>
    <n v="5043.3599999999997"/>
    <s v="Returning"/>
    <n v="0.14000000000000001"/>
    <s v="Credit Card"/>
    <s v="Retail"/>
    <s v="South-Bob"/>
    <n v="72924.639999999999"/>
    <n v="80693.759999999995"/>
    <n v="7769.1199999999953"/>
  </r>
  <r>
    <d v="2023-07-25T00:00:00"/>
    <s v="Eve"/>
    <s v="West"/>
    <n v="5617.64"/>
    <n v="5"/>
    <x v="1"/>
    <n v="2206.58"/>
    <n v="2490.4699999999998"/>
    <s v="New"/>
    <n v="0.28000000000000003"/>
    <s v="Cash"/>
    <s v="Online"/>
    <s v="West-Eve"/>
    <n v="11032.9"/>
    <n v="12452.349999999999"/>
    <n v="1419.4499999999989"/>
  </r>
  <r>
    <d v="2023-03-18T00:00:00"/>
    <s v="David"/>
    <s v="South"/>
    <n v="485.9"/>
    <n v="4"/>
    <x v="1"/>
    <n v="688.98"/>
    <n v="863.81"/>
    <s v="New"/>
    <n v="0.27"/>
    <s v="Credit Card"/>
    <s v="Retail"/>
    <s v="South-David"/>
    <n v="2755.92"/>
    <n v="3455.24"/>
    <n v="699.31999999999971"/>
  </r>
  <r>
    <d v="2023-01-12T00:00:00"/>
    <s v="Charlie"/>
    <s v="North"/>
    <n v="6701.79"/>
    <n v="21"/>
    <x v="1"/>
    <n v="3724.38"/>
    <n v="3988.7"/>
    <s v="New"/>
    <n v="0.03"/>
    <s v="Bank Transfer"/>
    <s v="Retail"/>
    <s v="North-Charlie"/>
    <n v="78211.98"/>
    <n v="83762.7"/>
    <n v="5550.7200000000012"/>
  </r>
  <r>
    <d v="2023-10-22T00:00:00"/>
    <s v="Eve"/>
    <s v="South"/>
    <n v="3297.97"/>
    <n v="40"/>
    <x v="2"/>
    <n v="3233.37"/>
    <n v="3723.21"/>
    <s v="New"/>
    <n v="0.22"/>
    <s v="Bank Transfer"/>
    <s v="Retail"/>
    <s v="South-Eve"/>
    <n v="129334.79999999999"/>
    <n v="148928.4"/>
    <n v="19593.600000000006"/>
  </r>
  <r>
    <d v="2023-08-12T00:00:00"/>
    <s v="David"/>
    <s v="East"/>
    <n v="8989.4"/>
    <n v="14"/>
    <x v="0"/>
    <n v="1612.93"/>
    <n v="1964.15"/>
    <s v="Returning"/>
    <n v="0.24"/>
    <s v="Bank Transfer"/>
    <s v="Retail"/>
    <s v="East-David"/>
    <n v="22581.02"/>
    <n v="27498.100000000002"/>
    <n v="4917.0800000000017"/>
  </r>
  <r>
    <d v="2023-01-13T00:00:00"/>
    <s v="Alice"/>
    <s v="East"/>
    <n v="8892.3700000000008"/>
    <n v="39"/>
    <x v="0"/>
    <n v="3126.52"/>
    <n v="3465.79"/>
    <s v="New"/>
    <n v="0.08"/>
    <s v="Cash"/>
    <s v="Online"/>
    <s v="East-Alice"/>
    <n v="121934.28"/>
    <n v="135165.81"/>
    <n v="13231.529999999999"/>
  </r>
  <r>
    <d v="2023-02-15T00:00:00"/>
    <s v="Alice"/>
    <s v="South"/>
    <n v="3320.38"/>
    <n v="31"/>
    <x v="0"/>
    <n v="1138.32"/>
    <n v="1266.25"/>
    <s v="Returning"/>
    <n v="0.14000000000000001"/>
    <s v="Cash"/>
    <s v="Retail"/>
    <s v="South-Alice"/>
    <n v="35287.919999999998"/>
    <n v="39253.75"/>
    <n v="3965.8300000000017"/>
  </r>
  <r>
    <d v="2023-06-04T00:00:00"/>
    <s v="Bob"/>
    <s v="South"/>
    <n v="9019.51"/>
    <n v="14"/>
    <x v="0"/>
    <n v="2251.9499999999998"/>
    <n v="2626.3199999999902"/>
    <s v="Returning"/>
    <n v="0.21"/>
    <s v="Credit Card"/>
    <s v="Online"/>
    <s v="South-Bob"/>
    <n v="31527.299999999996"/>
    <n v="36768.479999999865"/>
    <n v="5241.1799999998693"/>
  </r>
  <r>
    <d v="2023-04-23T00:00:00"/>
    <s v="David"/>
    <s v="South"/>
    <n v="9961.9599999999991"/>
    <n v="6"/>
    <x v="0"/>
    <n v="4502.09"/>
    <n v="4879.72"/>
    <s v="New"/>
    <n v="0.13"/>
    <s v="Credit Card"/>
    <s v="Online"/>
    <s v="South-David"/>
    <n v="27012.54"/>
    <n v="29278.32"/>
    <n v="2265.7799999999988"/>
  </r>
  <r>
    <d v="2023-08-21T00:00:00"/>
    <s v="Alice"/>
    <s v="West"/>
    <n v="8271.6200000000008"/>
    <n v="12"/>
    <x v="2"/>
    <n v="710.99"/>
    <n v="876.46"/>
    <s v="Returning"/>
    <n v="0.03"/>
    <s v="Credit Card"/>
    <s v="Online"/>
    <s v="West-Alice"/>
    <n v="8531.880000000001"/>
    <n v="10517.52"/>
    <n v="1985.6399999999994"/>
  </r>
  <r>
    <d v="2023-01-17T00:00:00"/>
    <s v="Charlie"/>
    <s v="South"/>
    <n v="8464.23"/>
    <n v="16"/>
    <x v="2"/>
    <n v="1964.15"/>
    <n v="2211.17"/>
    <s v="Returning"/>
    <n v="0.21"/>
    <s v="Bank Transfer"/>
    <s v="Online"/>
    <s v="South-Charlie"/>
    <n v="31426.400000000001"/>
    <n v="35378.720000000001"/>
    <n v="3952.3199999999997"/>
  </r>
  <r>
    <d v="2023-12-26T00:00:00"/>
    <s v="David"/>
    <s v="North"/>
    <n v="2565.19"/>
    <n v="17"/>
    <x v="0"/>
    <n v="4114.66"/>
    <n v="4269.0199999999904"/>
    <s v="Returning"/>
    <n v="0.27"/>
    <s v="Bank Transfer"/>
    <s v="Retail"/>
    <s v="North-David"/>
    <n v="69949.22"/>
    <n v="72573.339999999836"/>
    <n v="2624.1199999998353"/>
  </r>
  <r>
    <d v="2023-08-11T00:00:00"/>
    <s v="Charlie"/>
    <s v="West"/>
    <n v="5809.35"/>
    <n v="45"/>
    <x v="2"/>
    <n v="4848.9799999999996"/>
    <n v="4985.75"/>
    <s v="Returning"/>
    <n v="0.2"/>
    <s v="Bank Transfer"/>
    <s v="Online"/>
    <s v="West-Charlie"/>
    <n v="218204.09999999998"/>
    <n v="224358.75"/>
    <n v="6154.6500000000233"/>
  </r>
  <r>
    <d v="2023-12-20T00:00:00"/>
    <s v="Charlie"/>
    <s v="West"/>
    <n v="765.83"/>
    <n v="23"/>
    <x v="2"/>
    <n v="2296.9299999999998"/>
    <n v="2319.62"/>
    <s v="Returning"/>
    <n v="0.23"/>
    <s v="Bank Transfer"/>
    <s v="Retail"/>
    <s v="West-Charlie"/>
    <n v="52829.39"/>
    <n v="53351.259999999995"/>
    <n v="521.86999999999534"/>
  </r>
  <r>
    <d v="2023-07-07T00:00:00"/>
    <s v="Alice"/>
    <s v="South"/>
    <n v="1039.69"/>
    <n v="14"/>
    <x v="0"/>
    <n v="2559.65"/>
    <n v="2709.4"/>
    <s v="Returning"/>
    <n v="0.11"/>
    <s v="Credit Card"/>
    <s v="Retail"/>
    <s v="South-Alice"/>
    <n v="35835.1"/>
    <n v="37931.599999999999"/>
    <n v="2096.5"/>
  </r>
  <r>
    <d v="2023-12-10T00:00:00"/>
    <s v="David"/>
    <s v="North"/>
    <n v="9989.0400000000009"/>
    <n v="7"/>
    <x v="1"/>
    <n v="2882.25"/>
    <n v="3163.7"/>
    <s v="Returning"/>
    <n v="0.05"/>
    <s v="Cash"/>
    <s v="Retail"/>
    <s v="North-David"/>
    <n v="20175.75"/>
    <n v="22145.899999999998"/>
    <n v="1970.1499999999978"/>
  </r>
  <r>
    <d v="2023-12-31T00:00:00"/>
    <s v="Eve"/>
    <s v="West"/>
    <n v="3333.73"/>
    <n v="46"/>
    <x v="2"/>
    <n v="4665.12"/>
    <n v="4675.8999999999996"/>
    <s v="New"/>
    <n v="0.19"/>
    <s v="Cash"/>
    <s v="Retail"/>
    <s v="West-Eve"/>
    <n v="214595.52"/>
    <n v="215091.4"/>
    <n v="495.88000000000466"/>
  </r>
  <r>
    <d v="2023-06-12T00:00:00"/>
    <s v="Alice"/>
    <s v="East"/>
    <n v="7507.02"/>
    <n v="32"/>
    <x v="1"/>
    <n v="4298.12"/>
    <n v="4446.8999999999996"/>
    <s v="New"/>
    <n v="0.1"/>
    <s v="Bank Transfer"/>
    <s v="Online"/>
    <s v="East-Alice"/>
    <n v="137539.84"/>
    <n v="142300.79999999999"/>
    <n v="4760.9599999999919"/>
  </r>
  <r>
    <d v="2023-11-22T00:00:00"/>
    <s v="Alice"/>
    <s v="West"/>
    <n v="8085.98"/>
    <n v="15"/>
    <x v="2"/>
    <n v="894.48"/>
    <n v="1336.37"/>
    <s v="Returning"/>
    <n v="0.26"/>
    <s v="Cash"/>
    <s v="Retail"/>
    <s v="West-Alice"/>
    <n v="13417.2"/>
    <n v="20045.55"/>
    <n v="6628.3499999999985"/>
  </r>
  <r>
    <d v="2023-03-15T00:00:00"/>
    <s v="David"/>
    <s v="South"/>
    <n v="8594.43"/>
    <n v="44"/>
    <x v="2"/>
    <n v="2211.9499999999998"/>
    <n v="2512.8399999999901"/>
    <s v="Returning"/>
    <n v="0.04"/>
    <s v="Cash"/>
    <s v="Online"/>
    <s v="South-David"/>
    <n v="97325.799999999988"/>
    <n v="110564.95999999957"/>
    <n v="13239.159999999581"/>
  </r>
  <r>
    <d v="2023-08-21T00:00:00"/>
    <s v="David"/>
    <s v="North"/>
    <n v="9976.52"/>
    <n v="17"/>
    <x v="0"/>
    <n v="2346.8000000000002"/>
    <n v="2654.65"/>
    <s v="New"/>
    <n v="0.13"/>
    <s v="Cash"/>
    <s v="Retail"/>
    <s v="North-David"/>
    <n v="39895.600000000006"/>
    <n v="45129.05"/>
    <n v="5233.4499999999971"/>
  </r>
  <r>
    <d v="2023-08-12T00:00:00"/>
    <s v="Charlie"/>
    <s v="South"/>
    <n v="2490.8200000000002"/>
    <n v="41"/>
    <x v="2"/>
    <n v="3956.03"/>
    <n v="4163.68"/>
    <s v="New"/>
    <n v="0.12"/>
    <s v="Bank Transfer"/>
    <s v="Retail"/>
    <s v="South-Charlie"/>
    <n v="162197.23000000001"/>
    <n v="170710.88"/>
    <n v="8513.6499999999942"/>
  </r>
  <r>
    <d v="2023-11-15T00:00:00"/>
    <s v="David"/>
    <s v="East"/>
    <n v="499.47"/>
    <n v="47"/>
    <x v="3"/>
    <n v="3034.32"/>
    <n v="3375.79"/>
    <s v="New"/>
    <n v="0.28000000000000003"/>
    <s v="Credit Card"/>
    <s v="Online"/>
    <s v="East-David"/>
    <n v="142613.04"/>
    <n v="158662.13"/>
    <n v="16049.089999999997"/>
  </r>
  <r>
    <d v="2023-03-01T00:00:00"/>
    <s v="Charlie"/>
    <s v="East"/>
    <n v="4170.8"/>
    <n v="44"/>
    <x v="3"/>
    <n v="3288.39"/>
    <n v="3391.46"/>
    <s v="New"/>
    <n v="0.05"/>
    <s v="Credit Card"/>
    <s v="Retail"/>
    <s v="East-Charlie"/>
    <n v="144689.16"/>
    <n v="149224.24"/>
    <n v="4535.0799999999872"/>
  </r>
  <r>
    <d v="2023-12-01T00:00:00"/>
    <s v="Alice"/>
    <s v="East"/>
    <n v="1387.8"/>
    <n v="34"/>
    <x v="0"/>
    <n v="4991.09"/>
    <n v="5402.28"/>
    <s v="Returning"/>
    <n v="0"/>
    <s v="Cash"/>
    <s v="Retail"/>
    <s v="East-Alice"/>
    <n v="169697.06"/>
    <n v="183677.52"/>
    <n v="13980.459999999992"/>
  </r>
  <r>
    <d v="2023-08-10T00:00:00"/>
    <s v="Bob"/>
    <s v="South"/>
    <n v="322.02"/>
    <n v="5"/>
    <x v="1"/>
    <n v="421.05"/>
    <n v="488.23"/>
    <s v="Returning"/>
    <n v="7.0000000000000007E-2"/>
    <s v="Credit Card"/>
    <s v="Retail"/>
    <s v="South-Bob"/>
    <n v="2105.25"/>
    <n v="2441.15"/>
    <n v="335.90000000000009"/>
  </r>
  <r>
    <d v="2023-02-06T00:00:00"/>
    <s v="Eve"/>
    <s v="West"/>
    <n v="3668.23"/>
    <n v="45"/>
    <x v="1"/>
    <n v="1153.9000000000001"/>
    <n v="1485.34"/>
    <s v="New"/>
    <n v="0.25"/>
    <s v="Credit Card"/>
    <s v="Retail"/>
    <s v="West-Eve"/>
    <n v="51925.500000000007"/>
    <n v="66840.3"/>
    <n v="14914.799999999996"/>
  </r>
  <r>
    <d v="2023-10-05T00:00:00"/>
    <s v="Alice"/>
    <s v="South"/>
    <n v="7859.01"/>
    <n v="27"/>
    <x v="1"/>
    <n v="2069.08"/>
    <n v="2246.2399999999998"/>
    <s v="New"/>
    <n v="0.06"/>
    <s v="Bank Transfer"/>
    <s v="Retail"/>
    <s v="South-Alice"/>
    <n v="55865.159999999996"/>
    <n v="60648.479999999996"/>
    <n v="4783.32"/>
  </r>
  <r>
    <d v="2023-07-15T00:00:00"/>
    <s v="David"/>
    <s v="North"/>
    <n v="5705.19"/>
    <n v="23"/>
    <x v="3"/>
    <n v="1771.52"/>
    <n v="2147.8000000000002"/>
    <s v="New"/>
    <n v="7.0000000000000007E-2"/>
    <s v="Bank Transfer"/>
    <s v="Online"/>
    <s v="North-David"/>
    <n v="40744.959999999999"/>
    <n v="49399.4"/>
    <n v="8654.4400000000023"/>
  </r>
  <r>
    <d v="2023-12-18T00:00:00"/>
    <s v="Eve"/>
    <s v="West"/>
    <n v="3196.5"/>
    <n v="40"/>
    <x v="1"/>
    <n v="157.15"/>
    <n v="436.53"/>
    <s v="New"/>
    <n v="0.04"/>
    <s v="Cash"/>
    <s v="Retail"/>
    <s v="West-Eve"/>
    <n v="6286"/>
    <n v="17461.199999999997"/>
    <n v="11175.199999999997"/>
  </r>
  <r>
    <d v="2023-08-30T00:00:00"/>
    <s v="Bob"/>
    <s v="East"/>
    <n v="6577.99"/>
    <n v="14"/>
    <x v="1"/>
    <n v="504.3"/>
    <n v="735.95"/>
    <s v="Returning"/>
    <n v="0.21"/>
    <s v="Cash"/>
    <s v="Retail"/>
    <s v="East-Bob"/>
    <n v="7060.2"/>
    <n v="10303.300000000001"/>
    <n v="3243.1000000000013"/>
  </r>
  <r>
    <d v="2023-11-20T00:00:00"/>
    <s v="Bob"/>
    <s v="South"/>
    <n v="2396.98"/>
    <n v="15"/>
    <x v="0"/>
    <n v="3420.72"/>
    <n v="3513.74"/>
    <s v="New"/>
    <n v="0.02"/>
    <s v="Cash"/>
    <s v="Online"/>
    <s v="South-Bob"/>
    <n v="51310.799999999996"/>
    <n v="52706.1"/>
    <n v="1395.3000000000029"/>
  </r>
  <r>
    <d v="2023-08-07T00:00:00"/>
    <s v="Charlie"/>
    <s v="East"/>
    <n v="242.38"/>
    <n v="43"/>
    <x v="1"/>
    <n v="4402.66"/>
    <n v="4724.7"/>
    <s v="New"/>
    <n v="0.1"/>
    <s v="Bank Transfer"/>
    <s v="Retail"/>
    <s v="East-Charlie"/>
    <n v="189314.38"/>
    <n v="203162.1"/>
    <n v="13847.720000000001"/>
  </r>
  <r>
    <d v="2023-07-11T00:00:00"/>
    <s v="Eve"/>
    <s v="East"/>
    <n v="7667.1"/>
    <n v="33"/>
    <x v="3"/>
    <n v="2595.42"/>
    <n v="3083.06"/>
    <s v="New"/>
    <n v="0.08"/>
    <s v="Credit Card"/>
    <s v="Online"/>
    <s v="East-Eve"/>
    <n v="85648.86"/>
    <n v="101740.98"/>
    <n v="16092.119999999995"/>
  </r>
  <r>
    <d v="2023-01-17T00:00:00"/>
    <s v="Charlie"/>
    <s v="North"/>
    <n v="6275.06"/>
    <n v="31"/>
    <x v="3"/>
    <n v="2719"/>
    <n v="3133.55"/>
    <s v="Returning"/>
    <n v="0.17"/>
    <s v="Bank Transfer"/>
    <s v="Retail"/>
    <s v="North-Charlie"/>
    <n v="84289"/>
    <n v="97140.05"/>
    <n v="12851.050000000003"/>
  </r>
  <r>
    <d v="2023-01-12T00:00:00"/>
    <s v="Alice"/>
    <s v="West"/>
    <n v="7646.8"/>
    <n v="35"/>
    <x v="3"/>
    <n v="1312.71"/>
    <n v="1352.11"/>
    <s v="Returning"/>
    <n v="0.22"/>
    <s v="Bank Transfer"/>
    <s v="Retail"/>
    <s v="West-Alice"/>
    <n v="45944.85"/>
    <n v="47323.85"/>
    <n v="1379"/>
  </r>
  <r>
    <d v="2023-07-12T00:00:00"/>
    <s v="Eve"/>
    <s v="North"/>
    <n v="485.49"/>
    <n v="17"/>
    <x v="0"/>
    <n v="3850.99"/>
    <n v="4045.3399999999901"/>
    <s v="Returning"/>
    <n v="0.16"/>
    <s v="Credit Card"/>
    <s v="Online"/>
    <s v="North-Eve"/>
    <n v="65466.829999999994"/>
    <n v="68770.779999999839"/>
    <n v="3303.9499999998443"/>
  </r>
  <r>
    <d v="2023-01-22T00:00:00"/>
    <s v="Alice"/>
    <s v="North"/>
    <n v="8387.48"/>
    <n v="28"/>
    <x v="0"/>
    <n v="3771.38"/>
    <n v="4234.92"/>
    <s v="New"/>
    <n v="0.28000000000000003"/>
    <s v="Credit Card"/>
    <s v="Retail"/>
    <s v="North-Alice"/>
    <n v="105598.64"/>
    <n v="118577.76000000001"/>
    <n v="12979.12000000001"/>
  </r>
  <r>
    <d v="2023-04-30T00:00:00"/>
    <s v="Charlie"/>
    <s v="North"/>
    <n v="6233.31"/>
    <n v="19"/>
    <x v="2"/>
    <n v="2962.41"/>
    <n v="3218.8999999999901"/>
    <s v="New"/>
    <n v="0.28999999999999998"/>
    <s v="Cash"/>
    <s v="Retail"/>
    <s v="North-Charlie"/>
    <n v="56285.789999999994"/>
    <n v="61159.099999999809"/>
    <n v="4873.3099999998158"/>
  </r>
  <r>
    <d v="2023-07-29T00:00:00"/>
    <s v="Eve"/>
    <s v="East"/>
    <n v="5677.61"/>
    <n v="46"/>
    <x v="1"/>
    <n v="1102.69"/>
    <n v="1437.12"/>
    <s v="New"/>
    <n v="0.11"/>
    <s v="Credit Card"/>
    <s v="Online"/>
    <s v="East-Eve"/>
    <n v="50723.740000000005"/>
    <n v="66107.51999999999"/>
    <n v="15383.779999999984"/>
  </r>
  <r>
    <d v="2023-11-02T00:00:00"/>
    <s v="Charlie"/>
    <s v="North"/>
    <n v="6283.68"/>
    <n v="23"/>
    <x v="0"/>
    <n v="530.24"/>
    <n v="987.41"/>
    <s v="Returning"/>
    <n v="0.23"/>
    <s v="Credit Card"/>
    <s v="Online"/>
    <s v="North-Charlie"/>
    <n v="12195.52"/>
    <n v="22710.43"/>
    <n v="10514.91"/>
  </r>
  <r>
    <d v="2023-09-27T00:00:00"/>
    <s v="Eve"/>
    <s v="North"/>
    <n v="8657.89"/>
    <n v="32"/>
    <x v="3"/>
    <n v="367.98"/>
    <n v="806.14"/>
    <s v="Returning"/>
    <n v="0.22"/>
    <s v="Credit Card"/>
    <s v="Retail"/>
    <s v="North-Eve"/>
    <n v="11775.36"/>
    <n v="25796.48"/>
    <n v="14021.119999999999"/>
  </r>
  <r>
    <d v="2023-07-11T00:00:00"/>
    <s v="Charlie"/>
    <s v="West"/>
    <n v="5910.67"/>
    <n v="40"/>
    <x v="3"/>
    <n v="2983.85"/>
    <n v="3239.74"/>
    <s v="New"/>
    <n v="0.27"/>
    <s v="Credit Card"/>
    <s v="Online"/>
    <s v="West-Charlie"/>
    <n v="119354"/>
    <n v="129589.59999999999"/>
    <n v="10235.599999999991"/>
  </r>
  <r>
    <d v="2023-06-24T00:00:00"/>
    <s v="Bob"/>
    <s v="West"/>
    <n v="5851.41"/>
    <n v="13"/>
    <x v="0"/>
    <n v="4133.92"/>
    <n v="4358.37"/>
    <s v="New"/>
    <n v="0.13"/>
    <s v="Cash"/>
    <s v="Retail"/>
    <s v="West-Bob"/>
    <n v="53740.959999999999"/>
    <n v="56658.81"/>
    <n v="2917.8499999999985"/>
  </r>
  <r>
    <d v="2023-10-12T00:00:00"/>
    <s v="Charlie"/>
    <s v="North"/>
    <n v="9907.7199999999993"/>
    <n v="20"/>
    <x v="0"/>
    <n v="4298.74"/>
    <n v="4475.1899999999996"/>
    <s v="Returning"/>
    <n v="0.16"/>
    <s v="Cash"/>
    <s v="Online"/>
    <s v="North-Charlie"/>
    <n v="85974.799999999988"/>
    <n v="89503.799999999988"/>
    <n v="3529"/>
  </r>
  <r>
    <d v="2023-07-23T00:00:00"/>
    <s v="Bob"/>
    <s v="West"/>
    <n v="7591.63"/>
    <n v="35"/>
    <x v="0"/>
    <n v="2344.9299999999998"/>
    <n v="2707.25"/>
    <s v="New"/>
    <n v="0.12"/>
    <s v="Credit Card"/>
    <s v="Retail"/>
    <s v="West-Bob"/>
    <n v="82072.549999999988"/>
    <n v="94753.75"/>
    <n v="12681.200000000012"/>
  </r>
  <r>
    <d v="2023-06-13T00:00:00"/>
    <s v="Charlie"/>
    <s v="West"/>
    <n v="4478.71"/>
    <n v="5"/>
    <x v="2"/>
    <n v="3932.14"/>
    <n v="4082.7599999999902"/>
    <s v="New"/>
    <n v="0.26"/>
    <s v="Credit Card"/>
    <s v="Online"/>
    <s v="West-Charlie"/>
    <n v="19660.7"/>
    <n v="20413.799999999952"/>
    <n v="753.09999999995125"/>
  </r>
  <r>
    <d v="2023-09-08T00:00:00"/>
    <s v="Eve"/>
    <s v="North"/>
    <n v="7103.23"/>
    <n v="9"/>
    <x v="3"/>
    <n v="4737.0600000000004"/>
    <n v="4869.5"/>
    <s v="New"/>
    <n v="7.0000000000000007E-2"/>
    <s v="Cash"/>
    <s v="Online"/>
    <s v="North-Eve"/>
    <n v="42633.54"/>
    <n v="43825.5"/>
    <n v="1191.9599999999991"/>
  </r>
  <r>
    <d v="2023-08-15T00:00:00"/>
    <s v="Eve"/>
    <s v="East"/>
    <n v="3953.38"/>
    <n v="29"/>
    <x v="2"/>
    <n v="1412.09"/>
    <n v="1596.6499999999901"/>
    <s v="Returning"/>
    <n v="7.0000000000000007E-2"/>
    <s v="Cash"/>
    <s v="Online"/>
    <s v="East-Eve"/>
    <n v="40950.61"/>
    <n v="46302.849999999715"/>
    <n v="5352.2399999997142"/>
  </r>
  <r>
    <d v="2023-01-07T00:00:00"/>
    <s v="Eve"/>
    <s v="North"/>
    <n v="2365.87"/>
    <n v="6"/>
    <x v="2"/>
    <n v="2019.9"/>
    <n v="2116.7399999999998"/>
    <s v="New"/>
    <n v="0.11"/>
    <s v="Credit Card"/>
    <s v="Online"/>
    <s v="North-Eve"/>
    <n v="12119.400000000001"/>
    <n v="12700.439999999999"/>
    <n v="581.03999999999724"/>
  </r>
  <r>
    <d v="2023-01-29T00:00:00"/>
    <s v="David"/>
    <s v="West"/>
    <n v="6008.83"/>
    <n v="25"/>
    <x v="1"/>
    <n v="4660.82"/>
    <n v="5011.4299999999903"/>
    <s v="New"/>
    <n v="7.0000000000000007E-2"/>
    <s v="Bank Transfer"/>
    <s v="Online"/>
    <s v="West-David"/>
    <n v="116520.5"/>
    <n v="125285.74999999975"/>
    <n v="8765.2499999997526"/>
  </r>
  <r>
    <d v="2023-02-02T00:00:00"/>
    <s v="Alice"/>
    <s v="East"/>
    <n v="9289"/>
    <n v="31"/>
    <x v="3"/>
    <n v="1724.24"/>
    <n v="2036.2"/>
    <s v="New"/>
    <n v="0.17"/>
    <s v="Cash"/>
    <s v="Online"/>
    <s v="East-Alice"/>
    <n v="53451.44"/>
    <n v="63122.200000000004"/>
    <n v="9670.760000000002"/>
  </r>
  <r>
    <d v="2023-05-14T00:00:00"/>
    <s v="Eve"/>
    <s v="South"/>
    <n v="9298.48"/>
    <n v="22"/>
    <x v="3"/>
    <n v="4573.6899999999996"/>
    <n v="4820.2999999999902"/>
    <s v="New"/>
    <n v="0.04"/>
    <s v="Cash"/>
    <s v="Online"/>
    <s v="South-Eve"/>
    <n v="100621.18"/>
    <n v="106046.59999999979"/>
    <n v="5425.4199999997945"/>
  </r>
  <r>
    <d v="2023-03-20T00:00:00"/>
    <s v="Bob"/>
    <s v="East"/>
    <n v="3484.86"/>
    <n v="2"/>
    <x v="0"/>
    <n v="4906.17"/>
    <n v="5107.43"/>
    <s v="Returning"/>
    <n v="0.1"/>
    <s v="Cash"/>
    <s v="Online"/>
    <s v="East-Bob"/>
    <n v="9812.34"/>
    <n v="10214.86"/>
    <n v="402.52000000000044"/>
  </r>
  <r>
    <d v="2023-02-27T00:00:00"/>
    <s v="Eve"/>
    <s v="West"/>
    <n v="5324.01"/>
    <n v="45"/>
    <x v="0"/>
    <n v="3325.96"/>
    <n v="3781.4"/>
    <s v="Returning"/>
    <n v="0.27"/>
    <s v="Credit Card"/>
    <s v="Online"/>
    <s v="West-Eve"/>
    <n v="149668.20000000001"/>
    <n v="170163"/>
    <n v="20494.799999999988"/>
  </r>
  <r>
    <d v="2023-01-26T00:00:00"/>
    <s v="David"/>
    <s v="East"/>
    <n v="2195.1999999999998"/>
    <n v="5"/>
    <x v="1"/>
    <n v="4093.61"/>
    <n v="4117.88"/>
    <s v="Returning"/>
    <n v="0.12"/>
    <s v="Credit Card"/>
    <s v="Retail"/>
    <s v="East-David"/>
    <n v="20468.05"/>
    <n v="20589.400000000001"/>
    <n v="121.35000000000218"/>
  </r>
  <r>
    <d v="2023-08-14T00:00:00"/>
    <s v="Bob"/>
    <s v="North"/>
    <n v="9956.75"/>
    <n v="27"/>
    <x v="2"/>
    <n v="3760.25"/>
    <n v="4147.1099999999997"/>
    <s v="New"/>
    <n v="0.22"/>
    <s v="Cash"/>
    <s v="Online"/>
    <s v="North-Bob"/>
    <n v="101526.75"/>
    <n v="111971.96999999999"/>
    <n v="10445.219999999987"/>
  </r>
  <r>
    <d v="2023-10-12T00:00:00"/>
    <s v="David"/>
    <s v="South"/>
    <n v="9813.07"/>
    <n v="25"/>
    <x v="0"/>
    <n v="3512.69"/>
    <n v="3964.63"/>
    <s v="Returning"/>
    <n v="0.03"/>
    <s v="Credit Card"/>
    <s v="Retail"/>
    <s v="South-David"/>
    <n v="87817.25"/>
    <n v="99115.75"/>
    <n v="11298.5"/>
  </r>
  <r>
    <d v="2023-01-04T00:00:00"/>
    <s v="Bob"/>
    <s v="South"/>
    <n v="6530.14"/>
    <n v="8"/>
    <x v="0"/>
    <n v="1569.31"/>
    <n v="1798.02"/>
    <s v="New"/>
    <n v="7.0000000000000007E-2"/>
    <s v="Credit Card"/>
    <s v="Online"/>
    <s v="South-Bob"/>
    <n v="12554.48"/>
    <n v="14384.16"/>
    <n v="1829.6800000000003"/>
  </r>
  <r>
    <d v="2023-04-09T00:00:00"/>
    <s v="Charlie"/>
    <s v="South"/>
    <n v="8063.7"/>
    <n v="1"/>
    <x v="3"/>
    <n v="332.62"/>
    <n v="612.46"/>
    <s v="Returning"/>
    <n v="0.24"/>
    <s v="Cash"/>
    <s v="Retail"/>
    <s v="South-Charlie"/>
    <n v="332.62"/>
    <n v="612.46"/>
    <n v="279.84000000000003"/>
  </r>
  <r>
    <d v="2023-02-08T00:00:00"/>
    <s v="Alice"/>
    <s v="West"/>
    <n v="7179.49"/>
    <n v="20"/>
    <x v="3"/>
    <n v="1748.11"/>
    <n v="2220.9"/>
    <s v="New"/>
    <n v="0.23"/>
    <s v="Credit Card"/>
    <s v="Retail"/>
    <s v="West-Alice"/>
    <n v="34962.199999999997"/>
    <n v="44418"/>
    <n v="9455.8000000000029"/>
  </r>
  <r>
    <d v="2023-09-28T00:00:00"/>
    <s v="Alice"/>
    <s v="West"/>
    <n v="5972.27"/>
    <n v="44"/>
    <x v="0"/>
    <n v="3351.33"/>
    <n v="3465.35"/>
    <s v="Returning"/>
    <n v="0.12"/>
    <s v="Bank Transfer"/>
    <s v="Online"/>
    <s v="West-Alice"/>
    <n v="147458.51999999999"/>
    <n v="152475.4"/>
    <n v="5016.8800000000047"/>
  </r>
  <r>
    <d v="2023-10-12T00:00:00"/>
    <s v="David"/>
    <s v="South"/>
    <n v="628.15"/>
    <n v="23"/>
    <x v="3"/>
    <n v="557.52"/>
    <n v="822.39"/>
    <s v="Returning"/>
    <n v="0.28999999999999998"/>
    <s v="Credit Card"/>
    <s v="Online"/>
    <s v="South-David"/>
    <n v="12822.96"/>
    <n v="18914.97"/>
    <n v="6092.010000000002"/>
  </r>
  <r>
    <d v="2023-06-06T00:00:00"/>
    <s v="Alice"/>
    <s v="East"/>
    <n v="4602.17"/>
    <n v="32"/>
    <x v="1"/>
    <n v="108.99"/>
    <n v="351.6"/>
    <s v="Returning"/>
    <n v="0.27"/>
    <s v="Credit Card"/>
    <s v="Retail"/>
    <s v="East-Alice"/>
    <n v="3487.68"/>
    <n v="11251.2"/>
    <n v="7763.52"/>
  </r>
  <r>
    <d v="2023-03-16T00:00:00"/>
    <s v="David"/>
    <s v="South"/>
    <n v="6780.38"/>
    <n v="11"/>
    <x v="0"/>
    <n v="741.48"/>
    <n v="878.09"/>
    <s v="New"/>
    <n v="0.28999999999999998"/>
    <s v="Cash"/>
    <s v="Retail"/>
    <s v="South-David"/>
    <n v="8156.2800000000007"/>
    <n v="9658.99"/>
    <n v="1502.7099999999991"/>
  </r>
  <r>
    <d v="2023-10-15T00:00:00"/>
    <s v="David"/>
    <s v="East"/>
    <n v="6807.56"/>
    <n v="39"/>
    <x v="3"/>
    <n v="3592.89"/>
    <n v="4004"/>
    <s v="New"/>
    <n v="0.13"/>
    <s v="Cash"/>
    <s v="Online"/>
    <s v="East-David"/>
    <n v="140122.71"/>
    <n v="156156"/>
    <n v="16033.290000000008"/>
  </r>
  <r>
    <d v="2023-05-10T00:00:00"/>
    <s v="David"/>
    <s v="East"/>
    <n v="3793.91"/>
    <n v="47"/>
    <x v="1"/>
    <n v="4865.33"/>
    <n v="5316.13"/>
    <s v="New"/>
    <n v="0.06"/>
    <s v="Bank Transfer"/>
    <s v="Online"/>
    <s v="East-David"/>
    <n v="228670.51"/>
    <n v="249858.11000000002"/>
    <n v="21187.600000000006"/>
  </r>
  <r>
    <d v="2023-06-24T00:00:00"/>
    <s v="Alice"/>
    <s v="West"/>
    <n v="9422.75"/>
    <n v="24"/>
    <x v="3"/>
    <n v="4916.17"/>
    <n v="5309.32"/>
    <s v="Returning"/>
    <n v="0.19"/>
    <s v="Credit Card"/>
    <s v="Online"/>
    <s v="West-Alice"/>
    <n v="117988.08"/>
    <n v="127423.67999999999"/>
    <n v="9435.5999999999913"/>
  </r>
  <r>
    <d v="2023-03-25T00:00:00"/>
    <s v="David"/>
    <s v="East"/>
    <n v="1756.83"/>
    <n v="11"/>
    <x v="3"/>
    <n v="2495.1999999999998"/>
    <n v="2600.9299999999998"/>
    <s v="New"/>
    <n v="0.21"/>
    <s v="Bank Transfer"/>
    <s v="Retail"/>
    <s v="East-David"/>
    <n v="27447.199999999997"/>
    <n v="28610.23"/>
    <n v="1163.0300000000025"/>
  </r>
  <r>
    <d v="2023-01-22T00:00:00"/>
    <s v="Alice"/>
    <s v="South"/>
    <n v="5053.5600000000004"/>
    <n v="29"/>
    <x v="3"/>
    <n v="4353.29"/>
    <n v="4405.8"/>
    <s v="New"/>
    <n v="0.04"/>
    <s v="Bank Transfer"/>
    <s v="Online"/>
    <s v="South-Alice"/>
    <n v="126245.41"/>
    <n v="127768.20000000001"/>
    <n v="1522.7900000000081"/>
  </r>
  <r>
    <d v="2023-01-27T00:00:00"/>
    <s v="David"/>
    <s v="West"/>
    <n v="6939.75"/>
    <n v="26"/>
    <x v="0"/>
    <n v="3697.29"/>
    <n v="4003.96"/>
    <s v="New"/>
    <n v="0.24"/>
    <s v="Cash"/>
    <s v="Online"/>
    <s v="West-David"/>
    <n v="96129.54"/>
    <n v="104102.96"/>
    <n v="7973.4200000000128"/>
  </r>
  <r>
    <d v="2023-07-14T00:00:00"/>
    <s v="Eve"/>
    <s v="North"/>
    <n v="7001.64"/>
    <n v="16"/>
    <x v="2"/>
    <n v="2530.15"/>
    <n v="2568.13"/>
    <s v="New"/>
    <n v="0.01"/>
    <s v="Credit Card"/>
    <s v="Online"/>
    <s v="North-Eve"/>
    <n v="40482.400000000001"/>
    <n v="41090.080000000002"/>
    <n v="607.68000000000029"/>
  </r>
  <r>
    <d v="2023-12-03T00:00:00"/>
    <s v="David"/>
    <s v="North"/>
    <n v="6521.53"/>
    <n v="35"/>
    <x v="3"/>
    <n v="2885.16"/>
    <n v="3224.8399999999901"/>
    <s v="New"/>
    <n v="0.14000000000000001"/>
    <s v="Cash"/>
    <s v="Online"/>
    <s v="North-David"/>
    <n v="100980.59999999999"/>
    <n v="112869.39999999966"/>
    <n v="11888.799999999668"/>
  </r>
  <r>
    <d v="2023-08-24T00:00:00"/>
    <s v="Bob"/>
    <s v="West"/>
    <n v="2825.35"/>
    <n v="20"/>
    <x v="1"/>
    <n v="729.27"/>
    <n v="999.18"/>
    <s v="New"/>
    <n v="0.1"/>
    <s v="Bank Transfer"/>
    <s v="Online"/>
    <s v="West-Bob"/>
    <n v="14585.4"/>
    <n v="19983.599999999999"/>
    <n v="5398.1999999999989"/>
  </r>
  <r>
    <d v="2023-04-02T00:00:00"/>
    <s v="David"/>
    <s v="South"/>
    <n v="1646.45"/>
    <n v="46"/>
    <x v="0"/>
    <n v="4691.42"/>
    <n v="5026.1899999999996"/>
    <s v="Returning"/>
    <n v="0.22"/>
    <s v="Bank Transfer"/>
    <s v="Retail"/>
    <s v="South-David"/>
    <n v="215805.32"/>
    <n v="231204.74"/>
    <n v="15399.419999999984"/>
  </r>
  <r>
    <d v="2023-01-21T00:00:00"/>
    <s v="Charlie"/>
    <s v="North"/>
    <n v="6395.81"/>
    <n v="3"/>
    <x v="0"/>
    <n v="1792.05"/>
    <n v="2091.23"/>
    <s v="Returning"/>
    <n v="0.09"/>
    <s v="Cash"/>
    <s v="Retail"/>
    <s v="North-Charlie"/>
    <n v="5376.15"/>
    <n v="6273.6900000000005"/>
    <n v="897.54000000000087"/>
  </r>
  <r>
    <d v="2023-10-30T00:00:00"/>
    <s v="David"/>
    <s v="North"/>
    <n v="6033.09"/>
    <n v="1"/>
    <x v="1"/>
    <n v="2258.44"/>
    <n v="2475.56"/>
    <s v="New"/>
    <n v="0.25"/>
    <s v="Cash"/>
    <s v="Online"/>
    <s v="North-David"/>
    <n v="2258.44"/>
    <n v="2475.56"/>
    <n v="217.11999999999989"/>
  </r>
  <r>
    <d v="2023-12-23T00:00:00"/>
    <s v="Bob"/>
    <s v="East"/>
    <n v="1875.62"/>
    <n v="47"/>
    <x v="3"/>
    <n v="3374.72"/>
    <n v="3483.1499999999901"/>
    <s v="Returning"/>
    <n v="0.18"/>
    <s v="Cash"/>
    <s v="Online"/>
    <s v="East-Bob"/>
    <n v="158611.84"/>
    <n v="163708.04999999952"/>
    <n v="5096.2099999995262"/>
  </r>
  <r>
    <d v="2023-03-25T00:00:00"/>
    <s v="Bob"/>
    <s v="East"/>
    <n v="7080.88"/>
    <n v="1"/>
    <x v="2"/>
    <n v="1702.82"/>
    <n v="1862.61"/>
    <s v="Returning"/>
    <n v="0.24"/>
    <s v="Cash"/>
    <s v="Retail"/>
    <s v="East-Bob"/>
    <n v="1702.82"/>
    <n v="1862.61"/>
    <n v="159.78999999999996"/>
  </r>
  <r>
    <d v="2023-09-19T00:00:00"/>
    <s v="Alice"/>
    <s v="South"/>
    <n v="4606.2"/>
    <n v="17"/>
    <x v="3"/>
    <n v="1308.58"/>
    <n v="1575.59"/>
    <s v="New"/>
    <n v="0.3"/>
    <s v="Cash"/>
    <s v="Online"/>
    <s v="South-Alice"/>
    <n v="22245.86"/>
    <n v="26785.03"/>
    <n v="4539.1699999999983"/>
  </r>
  <r>
    <d v="2023-05-27T00:00:00"/>
    <s v="Eve"/>
    <s v="West"/>
    <n v="6710.83"/>
    <n v="2"/>
    <x v="1"/>
    <n v="3173.69"/>
    <n v="3503.11"/>
    <s v="New"/>
    <n v="0.2"/>
    <s v="Bank Transfer"/>
    <s v="Retail"/>
    <s v="West-Eve"/>
    <n v="6347.38"/>
    <n v="7006.22"/>
    <n v="658.84000000000015"/>
  </r>
  <r>
    <d v="2023-09-14T00:00:00"/>
    <s v="David"/>
    <s v="South"/>
    <n v="8389.93"/>
    <n v="29"/>
    <x v="0"/>
    <n v="173.67"/>
    <n v="565.62"/>
    <s v="Returning"/>
    <n v="0.3"/>
    <s v="Cash"/>
    <s v="Online"/>
    <s v="South-David"/>
    <n v="5036.4299999999994"/>
    <n v="16402.98"/>
    <n v="11366.55"/>
  </r>
  <r>
    <d v="2023-02-27T00:00:00"/>
    <s v="Alice"/>
    <s v="West"/>
    <n v="1780.31"/>
    <n v="20"/>
    <x v="2"/>
    <n v="3617.59"/>
    <n v="4003.5"/>
    <s v="New"/>
    <n v="0.01"/>
    <s v="Credit Card"/>
    <s v="Retail"/>
    <s v="West-Alice"/>
    <n v="72351.8"/>
    <n v="80070"/>
    <n v="7718.1999999999971"/>
  </r>
  <r>
    <d v="2023-01-15T00:00:00"/>
    <s v="Eve"/>
    <s v="North"/>
    <n v="289.52999999999997"/>
    <n v="6"/>
    <x v="0"/>
    <n v="2594.42"/>
    <n v="3081.04"/>
    <s v="Returning"/>
    <n v="0.1"/>
    <s v="Bank Transfer"/>
    <s v="Retail"/>
    <s v="North-Eve"/>
    <n v="15566.52"/>
    <n v="18486.239999999998"/>
    <n v="2919.7199999999975"/>
  </r>
  <r>
    <d v="2023-06-11T00:00:00"/>
    <s v="David"/>
    <s v="East"/>
    <n v="7813.12"/>
    <n v="8"/>
    <x v="1"/>
    <n v="3048.48"/>
    <n v="3198.54"/>
    <s v="Returning"/>
    <n v="0.03"/>
    <s v="Bank Transfer"/>
    <s v="Online"/>
    <s v="East-David"/>
    <n v="24387.84"/>
    <n v="25588.32"/>
    <n v="1200.4799999999996"/>
  </r>
  <r>
    <d v="2023-06-12T00:00:00"/>
    <s v="Charlie"/>
    <s v="South"/>
    <n v="6136"/>
    <n v="29"/>
    <x v="3"/>
    <n v="3177.81"/>
    <n v="3222.65"/>
    <s v="Returning"/>
    <n v="0.08"/>
    <s v="Credit Card"/>
    <s v="Retail"/>
    <s v="South-Charlie"/>
    <n v="92156.49"/>
    <n v="93456.85"/>
    <n v="1300.3600000000006"/>
  </r>
  <r>
    <d v="2023-11-16T00:00:00"/>
    <s v="David"/>
    <s v="South"/>
    <n v="7026.43"/>
    <n v="48"/>
    <x v="2"/>
    <n v="2658.9"/>
    <n v="2838.27"/>
    <s v="New"/>
    <n v="0.25"/>
    <s v="Credit Card"/>
    <s v="Online"/>
    <s v="South-David"/>
    <n v="127627.20000000001"/>
    <n v="136236.96"/>
    <n v="8609.7599999999802"/>
  </r>
  <r>
    <d v="2023-10-08T00:00:00"/>
    <s v="Bob"/>
    <s v="West"/>
    <n v="8397.73"/>
    <n v="33"/>
    <x v="0"/>
    <n v="2933.54"/>
    <n v="3307.75"/>
    <s v="Returning"/>
    <n v="0.01"/>
    <s v="Bank Transfer"/>
    <s v="Retail"/>
    <s v="West-Bob"/>
    <n v="96806.819999999992"/>
    <n v="109155.75"/>
    <n v="12348.930000000008"/>
  </r>
  <r>
    <d v="2023-10-07T00:00:00"/>
    <s v="Bob"/>
    <s v="West"/>
    <n v="8047.83"/>
    <n v="3"/>
    <x v="0"/>
    <n v="3434.75"/>
    <n v="3659.42"/>
    <s v="New"/>
    <n v="0.16"/>
    <s v="Cash"/>
    <s v="Online"/>
    <s v="West-Bob"/>
    <n v="10304.25"/>
    <n v="10978.26"/>
    <n v="674.01000000000022"/>
  </r>
  <r>
    <d v="2023-01-12T00:00:00"/>
    <s v="Charlie"/>
    <s v="South"/>
    <n v="9613.11"/>
    <n v="35"/>
    <x v="0"/>
    <n v="3777.94"/>
    <n v="4188.66"/>
    <s v="New"/>
    <n v="0.17"/>
    <s v="Bank Transfer"/>
    <s v="Online"/>
    <s v="South-Charlie"/>
    <n v="132227.9"/>
    <n v="146603.1"/>
    <n v="14375.200000000012"/>
  </r>
  <r>
    <d v="2023-10-01T00:00:00"/>
    <s v="Alice"/>
    <s v="West"/>
    <n v="5405.76"/>
    <n v="5"/>
    <x v="3"/>
    <n v="3650.89"/>
    <n v="3930.06"/>
    <s v="New"/>
    <n v="0.17"/>
    <s v="Bank Transfer"/>
    <s v="Online"/>
    <s v="West-Alice"/>
    <n v="18254.45"/>
    <n v="19650.3"/>
    <n v="1395.8499999999985"/>
  </r>
  <r>
    <d v="2023-09-28T00:00:00"/>
    <s v="Eve"/>
    <s v="South"/>
    <n v="4936.1099999999997"/>
    <n v="27"/>
    <x v="2"/>
    <n v="4354.6000000000004"/>
    <n v="4820.2"/>
    <s v="New"/>
    <n v="0.14000000000000001"/>
    <s v="Credit Card"/>
    <s v="Retail"/>
    <s v="South-Eve"/>
    <n v="117574.20000000001"/>
    <n v="130145.4"/>
    <n v="12571.199999999983"/>
  </r>
  <r>
    <d v="2023-07-27T00:00:00"/>
    <s v="David"/>
    <s v="South"/>
    <n v="4078.68"/>
    <n v="44"/>
    <x v="3"/>
    <n v="987.74"/>
    <n v="1462.19"/>
    <s v="New"/>
    <n v="0.24"/>
    <s v="Bank Transfer"/>
    <s v="Online"/>
    <s v="South-David"/>
    <n v="43460.56"/>
    <n v="64336.36"/>
    <n v="20875.800000000003"/>
  </r>
  <r>
    <d v="2023-01-27T00:00:00"/>
    <s v="Bob"/>
    <s v="South"/>
    <n v="1621.54"/>
    <n v="12"/>
    <x v="3"/>
    <n v="2035.68"/>
    <n v="2079.64"/>
    <s v="Returning"/>
    <n v="0.04"/>
    <s v="Cash"/>
    <s v="Online"/>
    <s v="South-Bob"/>
    <n v="24428.16"/>
    <n v="24955.68"/>
    <n v="527.52000000000044"/>
  </r>
  <r>
    <d v="2023-03-13T00:00:00"/>
    <s v="Alice"/>
    <s v="North"/>
    <n v="5768.81"/>
    <n v="20"/>
    <x v="3"/>
    <n v="4741.59"/>
    <n v="4975.2299999999996"/>
    <s v="New"/>
    <n v="0.09"/>
    <s v="Credit Card"/>
    <s v="Online"/>
    <s v="North-Alice"/>
    <n v="94831.8"/>
    <n v="99504.599999999991"/>
    <n v="4672.7999999999884"/>
  </r>
  <r>
    <d v="2023-03-01T00:00:00"/>
    <s v="Charlie"/>
    <s v="West"/>
    <n v="2842.42"/>
    <n v="45"/>
    <x v="1"/>
    <n v="2013.12"/>
    <n v="2321.87"/>
    <s v="New"/>
    <n v="0.18"/>
    <s v="Bank Transfer"/>
    <s v="Retail"/>
    <s v="West-Charlie"/>
    <n v="90590.399999999994"/>
    <n v="104484.15"/>
    <n v="13893.75"/>
  </r>
  <r>
    <d v="2023-05-25T00:00:00"/>
    <s v="Bob"/>
    <s v="East"/>
    <n v="9220.94"/>
    <n v="20"/>
    <x v="1"/>
    <n v="668.11"/>
    <n v="803.49"/>
    <s v="New"/>
    <n v="0.21"/>
    <s v="Bank Transfer"/>
    <s v="Online"/>
    <s v="East-Bob"/>
    <n v="13362.2"/>
    <n v="16069.8"/>
    <n v="2707.5999999999985"/>
  </r>
  <r>
    <d v="2023-04-03T00:00:00"/>
    <s v="Charlie"/>
    <s v="East"/>
    <n v="5873.59"/>
    <n v="9"/>
    <x v="1"/>
    <n v="2650.95"/>
    <n v="2860.4199999999901"/>
    <s v="New"/>
    <n v="0.12"/>
    <s v="Cash"/>
    <s v="Retail"/>
    <s v="East-Charlie"/>
    <n v="23858.55"/>
    <n v="25743.779999999912"/>
    <n v="1885.2299999999123"/>
  </r>
  <r>
    <d v="2023-11-05T00:00:00"/>
    <s v="David"/>
    <s v="West"/>
    <n v="5969.12"/>
    <n v="39"/>
    <x v="2"/>
    <n v="591.98"/>
    <n v="934.04"/>
    <s v="New"/>
    <n v="0.26"/>
    <s v="Bank Transfer"/>
    <s v="Retail"/>
    <s v="West-David"/>
    <n v="23087.22"/>
    <n v="36427.56"/>
    <n v="13340.339999999997"/>
  </r>
  <r>
    <d v="2023-01-08T00:00:00"/>
    <s v="Eve"/>
    <s v="South"/>
    <n v="3613.75"/>
    <n v="4"/>
    <x v="3"/>
    <n v="1054.1199999999999"/>
    <n v="1175.21999999999"/>
    <s v="Returning"/>
    <n v="0.12"/>
    <s v="Bank Transfer"/>
    <s v="Retail"/>
    <s v="South-Eve"/>
    <n v="4216.4799999999996"/>
    <n v="4700.8799999999601"/>
    <n v="484.39999999996053"/>
  </r>
  <r>
    <d v="2023-03-20T00:00:00"/>
    <s v="Bob"/>
    <s v="East"/>
    <n v="614.69000000000005"/>
    <n v="19"/>
    <x v="3"/>
    <n v="4991.68"/>
    <n v="5296.65"/>
    <s v="New"/>
    <n v="0.12"/>
    <s v="Bank Transfer"/>
    <s v="Online"/>
    <s v="East-Bob"/>
    <n v="94841.920000000013"/>
    <n v="100636.34999999999"/>
    <n v="5794.4299999999785"/>
  </r>
  <r>
    <d v="2023-01-27T00:00:00"/>
    <s v="Bob"/>
    <s v="East"/>
    <n v="414.26"/>
    <n v="38"/>
    <x v="1"/>
    <n v="2729.75"/>
    <n v="3081.5"/>
    <s v="New"/>
    <n v="0.01"/>
    <s v="Bank Transfer"/>
    <s v="Online"/>
    <s v="East-Bob"/>
    <n v="103730.5"/>
    <n v="117097"/>
    <n v="13366.5"/>
  </r>
  <r>
    <d v="2023-06-23T00:00:00"/>
    <s v="David"/>
    <s v="West"/>
    <n v="4291.0200000000004"/>
    <n v="27"/>
    <x v="3"/>
    <n v="1456.09"/>
    <n v="1510.4299999999901"/>
    <s v="Returning"/>
    <n v="0.17"/>
    <s v="Cash"/>
    <s v="Retail"/>
    <s v="West-David"/>
    <n v="39314.43"/>
    <n v="40781.609999999731"/>
    <n v="1467.1799999997311"/>
  </r>
  <r>
    <d v="2023-02-19T00:00:00"/>
    <s v="Alice"/>
    <s v="East"/>
    <n v="937.2"/>
    <n v="45"/>
    <x v="3"/>
    <n v="4974.1400000000003"/>
    <n v="5227.93"/>
    <s v="New"/>
    <n v="0.21"/>
    <s v="Bank Transfer"/>
    <s v="Online"/>
    <s v="East-Alice"/>
    <n v="223836.30000000002"/>
    <n v="235256.85"/>
    <n v="11420.549999999988"/>
  </r>
  <r>
    <d v="2023-07-18T00:00:00"/>
    <s v="Eve"/>
    <s v="South"/>
    <n v="6107.78"/>
    <n v="43"/>
    <x v="0"/>
    <n v="4834.47"/>
    <n v="4973.38"/>
    <s v="Returning"/>
    <n v="0.03"/>
    <s v="Bank Transfer"/>
    <s v="Online"/>
    <s v="South-Eve"/>
    <n v="207882.21000000002"/>
    <n v="213855.34"/>
    <n v="5973.1299999999756"/>
  </r>
  <r>
    <d v="2023-12-15T00:00:00"/>
    <s v="Bob"/>
    <s v="West"/>
    <n v="8821.6299999999992"/>
    <n v="13"/>
    <x v="3"/>
    <n v="2231.66"/>
    <n v="2596.6099999999901"/>
    <s v="Returning"/>
    <n v="0.09"/>
    <s v="Bank Transfer"/>
    <s v="Retail"/>
    <s v="West-Bob"/>
    <n v="29011.579999999998"/>
    <n v="33755.929999999869"/>
    <n v="4744.3499999998712"/>
  </r>
  <r>
    <d v="2023-06-30T00:00:00"/>
    <s v="Eve"/>
    <s v="South"/>
    <n v="8840.86"/>
    <n v="13"/>
    <x v="0"/>
    <n v="1339"/>
    <n v="1441.88"/>
    <s v="Returning"/>
    <n v="0.23"/>
    <s v="Credit Card"/>
    <s v="Retail"/>
    <s v="South-Eve"/>
    <n v="17407"/>
    <n v="18744.440000000002"/>
    <n v="1337.4400000000023"/>
  </r>
  <r>
    <d v="2023-01-24T00:00:00"/>
    <s v="Bob"/>
    <s v="East"/>
    <n v="6624.55"/>
    <n v="22"/>
    <x v="3"/>
    <n v="4200.08"/>
    <n v="4647.28"/>
    <s v="Returning"/>
    <n v="0.11"/>
    <s v="Cash"/>
    <s v="Online"/>
    <s v="East-Bob"/>
    <n v="92401.76"/>
    <n v="102240.15999999999"/>
    <n v="9838.3999999999942"/>
  </r>
  <r>
    <d v="2023-11-12T00:00:00"/>
    <s v="Eve"/>
    <s v="East"/>
    <n v="2191.1999999999998"/>
    <n v="28"/>
    <x v="2"/>
    <n v="3592.32"/>
    <n v="3813.48"/>
    <s v="New"/>
    <n v="7.0000000000000007E-2"/>
    <s v="Credit Card"/>
    <s v="Retail"/>
    <s v="East-Eve"/>
    <n v="100584.96000000001"/>
    <n v="106777.44"/>
    <n v="6192.4799999999959"/>
  </r>
  <r>
    <d v="2023-02-15T00:00:00"/>
    <s v="Charlie"/>
    <s v="South"/>
    <n v="8643.67"/>
    <n v="47"/>
    <x v="1"/>
    <n v="3450.36"/>
    <n v="3557.38"/>
    <s v="New"/>
    <n v="0.2"/>
    <s v="Credit Card"/>
    <s v="Online"/>
    <s v="South-Charlie"/>
    <n v="162166.92000000001"/>
    <n v="167196.86000000002"/>
    <n v="5029.9400000000023"/>
  </r>
  <r>
    <d v="2023-01-15T00:00:00"/>
    <s v="Bob"/>
    <s v="North"/>
    <n v="8872.33"/>
    <n v="45"/>
    <x v="0"/>
    <n v="4470.91"/>
    <n v="4695.54"/>
    <s v="Returning"/>
    <n v="0.06"/>
    <s v="Cash"/>
    <s v="Retail"/>
    <s v="North-Bob"/>
    <n v="201190.94999999998"/>
    <n v="211299.3"/>
    <n v="10108.350000000006"/>
  </r>
  <r>
    <d v="2023-06-02T00:00:00"/>
    <s v="Eve"/>
    <s v="East"/>
    <n v="2046.87"/>
    <n v="22"/>
    <x v="1"/>
    <n v="3462.61"/>
    <n v="3672.89"/>
    <s v="Returning"/>
    <n v="0.27"/>
    <s v="Credit Card"/>
    <s v="Online"/>
    <s v="East-Eve"/>
    <n v="76177.42"/>
    <n v="80803.58"/>
    <n v="4626.1600000000035"/>
  </r>
  <r>
    <d v="2023-08-10T00:00:00"/>
    <s v="Alice"/>
    <s v="North"/>
    <n v="7400.52"/>
    <n v="43"/>
    <x v="0"/>
    <n v="1454.8"/>
    <n v="1674.97"/>
    <s v="New"/>
    <n v="0.03"/>
    <s v="Credit Card"/>
    <s v="Online"/>
    <s v="North-Alice"/>
    <n v="62556.4"/>
    <n v="72023.710000000006"/>
    <n v="9467.3100000000049"/>
  </r>
  <r>
    <d v="2023-07-25T00:00:00"/>
    <s v="Charlie"/>
    <s v="East"/>
    <n v="2936.54"/>
    <n v="19"/>
    <x v="0"/>
    <n v="3484.62"/>
    <n v="3781.5499999999902"/>
    <s v="Returning"/>
    <n v="0.21"/>
    <s v="Credit Card"/>
    <s v="Retail"/>
    <s v="East-Charlie"/>
    <n v="66207.78"/>
    <n v="71849.449999999808"/>
    <n v="5641.6699999998091"/>
  </r>
  <r>
    <d v="2023-09-30T00:00:00"/>
    <s v="Charlie"/>
    <s v="North"/>
    <n v="8046.14"/>
    <n v="8"/>
    <x v="0"/>
    <n v="1563.78"/>
    <n v="1829.1599999999901"/>
    <s v="Returning"/>
    <n v="0.15"/>
    <s v="Cash"/>
    <s v="Online"/>
    <s v="North-Charlie"/>
    <n v="12510.24"/>
    <n v="14633.279999999921"/>
    <n v="2123.0399999999208"/>
  </r>
  <r>
    <d v="2023-08-24T00:00:00"/>
    <s v="Alice"/>
    <s v="North"/>
    <n v="9972.66"/>
    <n v="8"/>
    <x v="2"/>
    <n v="3808.23"/>
    <n v="3891.62"/>
    <s v="Returning"/>
    <n v="0.26"/>
    <s v="Bank Transfer"/>
    <s v="Online"/>
    <s v="North-Alice"/>
    <n v="30465.84"/>
    <n v="31132.959999999999"/>
    <n v="667.11999999999898"/>
  </r>
  <r>
    <d v="2023-12-06T00:00:00"/>
    <s v="Eve"/>
    <s v="North"/>
    <n v="397.26"/>
    <n v="42"/>
    <x v="3"/>
    <n v="3117.75"/>
    <n v="3159.88"/>
    <s v="New"/>
    <n v="0.04"/>
    <s v="Cash"/>
    <s v="Retail"/>
    <s v="North-Eve"/>
    <n v="130945.5"/>
    <n v="132714.96"/>
    <n v="1769.4599999999919"/>
  </r>
  <r>
    <d v="2023-08-16T00:00:00"/>
    <s v="David"/>
    <s v="South"/>
    <n v="8983.92"/>
    <n v="26"/>
    <x v="0"/>
    <n v="433.19"/>
    <n v="800.6"/>
    <s v="Returning"/>
    <n v="0.2"/>
    <s v="Cash"/>
    <s v="Online"/>
    <s v="South-David"/>
    <n v="11262.94"/>
    <n v="20815.600000000002"/>
    <n v="9552.6600000000017"/>
  </r>
  <r>
    <d v="2023-01-09T00:00:00"/>
    <s v="Alice"/>
    <s v="North"/>
    <n v="6264.04"/>
    <n v="48"/>
    <x v="2"/>
    <n v="2588.54"/>
    <n v="2872.8"/>
    <s v="New"/>
    <n v="0.17"/>
    <s v="Cash"/>
    <s v="Online"/>
    <s v="North-Alice"/>
    <n v="124249.92"/>
    <n v="137894.40000000002"/>
    <n v="13644.480000000025"/>
  </r>
  <r>
    <d v="2023-06-15T00:00:00"/>
    <s v="Eve"/>
    <s v="North"/>
    <n v="9736.49"/>
    <n v="26"/>
    <x v="0"/>
    <n v="1749.34"/>
    <n v="1935.25"/>
    <s v="New"/>
    <n v="0.14000000000000001"/>
    <s v="Credit Card"/>
    <s v="Online"/>
    <s v="North-Eve"/>
    <n v="45482.84"/>
    <n v="50316.5"/>
    <n v="4833.6600000000035"/>
  </r>
  <r>
    <d v="2023-11-15T00:00:00"/>
    <s v="Alice"/>
    <s v="North"/>
    <n v="4703.59"/>
    <n v="23"/>
    <x v="3"/>
    <n v="1676.42"/>
    <n v="2082.52"/>
    <s v="New"/>
    <n v="0.15"/>
    <s v="Bank Transfer"/>
    <s v="Retail"/>
    <s v="North-Alice"/>
    <n v="38557.660000000003"/>
    <n v="47897.96"/>
    <n v="9340.2999999999956"/>
  </r>
  <r>
    <d v="2023-08-02T00:00:00"/>
    <s v="Alice"/>
    <s v="East"/>
    <n v="8489.14"/>
    <n v="43"/>
    <x v="0"/>
    <n v="3031.17"/>
    <n v="3231.32"/>
    <s v="Returning"/>
    <n v="0.22"/>
    <s v="Cash"/>
    <s v="Retail"/>
    <s v="East-Alice"/>
    <n v="130340.31"/>
    <n v="138946.76"/>
    <n v="8606.4500000000116"/>
  </r>
  <r>
    <d v="2023-04-27T00:00:00"/>
    <s v="Bob"/>
    <s v="North"/>
    <n v="717.7"/>
    <n v="13"/>
    <x v="2"/>
    <n v="1645.51"/>
    <n v="2045.53"/>
    <s v="Returning"/>
    <n v="0.28000000000000003"/>
    <s v="Cash"/>
    <s v="Retail"/>
    <s v="North-Bob"/>
    <n v="21391.63"/>
    <n v="26591.89"/>
    <n v="5200.2599999999984"/>
  </r>
  <r>
    <d v="2023-12-10T00:00:00"/>
    <s v="Eve"/>
    <s v="East"/>
    <n v="3419.26"/>
    <n v="28"/>
    <x v="3"/>
    <n v="3895.62"/>
    <n v="4055.44"/>
    <s v="New"/>
    <n v="0.03"/>
    <s v="Bank Transfer"/>
    <s v="Retail"/>
    <s v="East-Eve"/>
    <n v="109077.36"/>
    <n v="113552.32000000001"/>
    <n v="4474.9600000000064"/>
  </r>
  <r>
    <d v="2023-03-13T00:00:00"/>
    <s v="David"/>
    <s v="North"/>
    <n v="763.46"/>
    <n v="9"/>
    <x v="2"/>
    <n v="400.42"/>
    <n v="446.11"/>
    <s v="New"/>
    <n v="0.01"/>
    <s v="Bank Transfer"/>
    <s v="Retail"/>
    <s v="North-David"/>
    <n v="3603.78"/>
    <n v="4014.9900000000002"/>
    <n v="411.21000000000004"/>
  </r>
  <r>
    <d v="2023-03-05T00:00:00"/>
    <s v="Bob"/>
    <s v="North"/>
    <n v="9755.9"/>
    <n v="20"/>
    <x v="3"/>
    <n v="3318.92"/>
    <n v="3785.91"/>
    <s v="New"/>
    <n v="0.24"/>
    <s v="Bank Transfer"/>
    <s v="Online"/>
    <s v="North-Bob"/>
    <n v="66378.399999999994"/>
    <n v="75718.2"/>
    <n v="9339.8000000000029"/>
  </r>
  <r>
    <d v="2023-07-24T00:00:00"/>
    <s v="Alice"/>
    <s v="South"/>
    <n v="8188.04"/>
    <n v="19"/>
    <x v="3"/>
    <n v="4055.51"/>
    <n v="4258.84"/>
    <s v="Returning"/>
    <n v="0.03"/>
    <s v="Credit Card"/>
    <s v="Online"/>
    <s v="South-Alice"/>
    <n v="77054.69"/>
    <n v="80917.960000000006"/>
    <n v="3863.2700000000041"/>
  </r>
  <r>
    <d v="2023-07-28T00:00:00"/>
    <s v="Alice"/>
    <s v="East"/>
    <n v="8540.2199999999993"/>
    <n v="48"/>
    <x v="1"/>
    <n v="3380.52"/>
    <n v="3778.94"/>
    <s v="Returning"/>
    <n v="0.3"/>
    <s v="Bank Transfer"/>
    <s v="Online"/>
    <s v="East-Alice"/>
    <n v="162264.95999999999"/>
    <n v="181389.12"/>
    <n v="19124.160000000003"/>
  </r>
  <r>
    <d v="2023-03-13T00:00:00"/>
    <s v="Alice"/>
    <s v="North"/>
    <n v="9385.86"/>
    <n v="39"/>
    <x v="1"/>
    <n v="2511.2800000000002"/>
    <n v="2658.06"/>
    <s v="New"/>
    <n v="0.19"/>
    <s v="Credit Card"/>
    <s v="Retail"/>
    <s v="North-Alice"/>
    <n v="97939.920000000013"/>
    <n v="103664.34"/>
    <n v="5724.4199999999837"/>
  </r>
  <r>
    <d v="2023-10-04T00:00:00"/>
    <s v="Eve"/>
    <s v="East"/>
    <n v="942.52"/>
    <n v="12"/>
    <x v="1"/>
    <n v="4754.0200000000004"/>
    <n v="5080.74"/>
    <s v="New"/>
    <n v="0.2"/>
    <s v="Cash"/>
    <s v="Online"/>
    <s v="East-Eve"/>
    <n v="57048.240000000005"/>
    <n v="60968.88"/>
    <n v="3920.6399999999921"/>
  </r>
  <r>
    <d v="2023-10-01T00:00:00"/>
    <s v="Eve"/>
    <s v="East"/>
    <n v="3917.42"/>
    <n v="15"/>
    <x v="3"/>
    <n v="1534.7"/>
    <n v="1972.62"/>
    <s v="Returning"/>
    <n v="0.06"/>
    <s v="Credit Card"/>
    <s v="Retail"/>
    <s v="East-Eve"/>
    <n v="23020.5"/>
    <n v="29589.3"/>
    <n v="6568.7999999999993"/>
  </r>
  <r>
    <d v="2023-11-16T00:00:00"/>
    <s v="Bob"/>
    <s v="West"/>
    <n v="803.25"/>
    <n v="31"/>
    <x v="0"/>
    <n v="144.88"/>
    <n v="175.29"/>
    <s v="New"/>
    <n v="7.0000000000000007E-2"/>
    <s v="Bank Transfer"/>
    <s v="Online"/>
    <s v="West-Bob"/>
    <n v="4491.28"/>
    <n v="5433.99"/>
    <n v="942.71"/>
  </r>
  <r>
    <d v="2023-12-04T00:00:00"/>
    <s v="David"/>
    <s v="South"/>
    <n v="2186.85"/>
    <n v="14"/>
    <x v="2"/>
    <n v="2188.35"/>
    <n v="2605.3599999999901"/>
    <s v="Returning"/>
    <n v="0.2"/>
    <s v="Credit Card"/>
    <s v="Retail"/>
    <s v="South-David"/>
    <n v="30636.899999999998"/>
    <n v="36475.039999999863"/>
    <n v="5838.1399999998648"/>
  </r>
  <r>
    <d v="2024-01-01T00:00:00"/>
    <s v="Bob"/>
    <s v="South"/>
    <n v="2370.7199999999998"/>
    <n v="11"/>
    <x v="2"/>
    <n v="213.41"/>
    <n v="503.36"/>
    <s v="Returning"/>
    <n v="0.27"/>
    <s v="Bank Transfer"/>
    <s v="Online"/>
    <s v="South-Bob"/>
    <n v="2347.5099999999998"/>
    <n v="5536.96"/>
    <n v="3189.4500000000003"/>
  </r>
  <r>
    <d v="2023-04-05T00:00:00"/>
    <s v="Charlie"/>
    <s v="South"/>
    <n v="4744.16"/>
    <n v="26"/>
    <x v="2"/>
    <n v="4771.99"/>
    <n v="5079.6499999999996"/>
    <s v="New"/>
    <n v="0.28999999999999998"/>
    <s v="Credit Card"/>
    <s v="Online"/>
    <s v="South-Charlie"/>
    <n v="124071.73999999999"/>
    <n v="132070.9"/>
    <n v="7999.1600000000035"/>
  </r>
  <r>
    <d v="2023-06-15T00:00:00"/>
    <s v="Alice"/>
    <s v="West"/>
    <n v="2758.77"/>
    <n v="42"/>
    <x v="1"/>
    <n v="1089.0899999999999"/>
    <n v="1355.44"/>
    <s v="New"/>
    <n v="0.06"/>
    <s v="Cash"/>
    <s v="Retail"/>
    <s v="West-Alice"/>
    <n v="45741.78"/>
    <n v="56928.480000000003"/>
    <n v="11186.700000000004"/>
  </r>
  <r>
    <d v="2023-02-01T00:00:00"/>
    <s v="Alice"/>
    <s v="West"/>
    <n v="1099.68"/>
    <n v="27"/>
    <x v="3"/>
    <n v="3955.19"/>
    <n v="4393.68"/>
    <s v="Returning"/>
    <n v="0.04"/>
    <s v="Credit Card"/>
    <s v="Online"/>
    <s v="West-Alice"/>
    <n v="106790.13"/>
    <n v="118629.36000000002"/>
    <n v="11839.23000000001"/>
  </r>
  <r>
    <d v="2023-01-11T00:00:00"/>
    <s v="Alice"/>
    <s v="South"/>
    <n v="1758.16"/>
    <n v="11"/>
    <x v="1"/>
    <n v="3884.13"/>
    <n v="3915.41"/>
    <s v="Returning"/>
    <n v="0.02"/>
    <s v="Cash"/>
    <s v="Online"/>
    <s v="South-Alice"/>
    <n v="42725.43"/>
    <n v="43069.509999999995"/>
    <n v="344.07999999999447"/>
  </r>
  <r>
    <d v="2023-10-28T00:00:00"/>
    <s v="Bob"/>
    <s v="West"/>
    <n v="1558.03"/>
    <n v="38"/>
    <x v="0"/>
    <n v="1127.76"/>
    <n v="1265.6600000000001"/>
    <s v="Returning"/>
    <n v="0.26"/>
    <s v="Bank Transfer"/>
    <s v="Retail"/>
    <s v="West-Bob"/>
    <n v="42854.879999999997"/>
    <n v="48095.08"/>
    <n v="5240.2000000000044"/>
  </r>
  <r>
    <d v="2023-08-05T00:00:00"/>
    <s v="Bob"/>
    <s v="West"/>
    <n v="9733.4599999999991"/>
    <n v="34"/>
    <x v="3"/>
    <n v="3125.07"/>
    <n v="3564.19"/>
    <s v="Returning"/>
    <n v="0.09"/>
    <s v="Cash"/>
    <s v="Online"/>
    <s v="West-Bob"/>
    <n v="106252.38"/>
    <n v="121182.46"/>
    <n v="14930.080000000002"/>
  </r>
  <r>
    <d v="2023-10-16T00:00:00"/>
    <s v="Alice"/>
    <s v="West"/>
    <n v="7617"/>
    <n v="43"/>
    <x v="2"/>
    <n v="287.99"/>
    <n v="666.64"/>
    <s v="Returning"/>
    <n v="0"/>
    <s v="Bank Transfer"/>
    <s v="Online"/>
    <s v="West-Alice"/>
    <n v="12383.57"/>
    <n v="28665.52"/>
    <n v="16281.95"/>
  </r>
  <r>
    <d v="2023-04-12T00:00:00"/>
    <s v="Bob"/>
    <s v="South"/>
    <n v="9680.84"/>
    <n v="19"/>
    <x v="1"/>
    <n v="2443.69"/>
    <n v="2462.34"/>
    <s v="New"/>
    <n v="7.0000000000000007E-2"/>
    <s v="Bank Transfer"/>
    <s v="Retail"/>
    <s v="South-Bob"/>
    <n v="46430.11"/>
    <n v="46784.460000000006"/>
    <n v="354.35000000000582"/>
  </r>
  <r>
    <d v="2023-09-24T00:00:00"/>
    <s v="Eve"/>
    <s v="South"/>
    <n v="4453.43"/>
    <n v="6"/>
    <x v="1"/>
    <n v="122.5"/>
    <n v="385.83"/>
    <s v="Returning"/>
    <n v="0.1"/>
    <s v="Cash"/>
    <s v="Retail"/>
    <s v="South-Eve"/>
    <n v="735"/>
    <n v="2314.98"/>
    <n v="1579.98"/>
  </r>
  <r>
    <d v="2023-08-02T00:00:00"/>
    <s v="Eve"/>
    <s v="South"/>
    <n v="2855.85"/>
    <n v="46"/>
    <x v="0"/>
    <n v="4609.66"/>
    <n v="4879.1499999999996"/>
    <s v="Returning"/>
    <n v="0.3"/>
    <s v="Cash"/>
    <s v="Retail"/>
    <s v="South-Eve"/>
    <n v="212044.36"/>
    <n v="224440.9"/>
    <n v="12396.540000000008"/>
  </r>
  <r>
    <d v="2023-06-28T00:00:00"/>
    <s v="Bob"/>
    <s v="West"/>
    <n v="8003.1"/>
    <n v="38"/>
    <x v="0"/>
    <n v="4881.63"/>
    <n v="5088.0600000000004"/>
    <s v="Returning"/>
    <n v="0.16"/>
    <s v="Credit Card"/>
    <s v="Retail"/>
    <s v="West-Bob"/>
    <n v="185501.94"/>
    <n v="193346.28000000003"/>
    <n v="7844.3400000000256"/>
  </r>
  <r>
    <d v="2023-03-29T00:00:00"/>
    <s v="Alice"/>
    <s v="South"/>
    <n v="3329.91"/>
    <n v="49"/>
    <x v="1"/>
    <n v="1150.3"/>
    <n v="1306.02"/>
    <s v="New"/>
    <n v="0.06"/>
    <s v="Credit Card"/>
    <s v="Retail"/>
    <s v="South-Alice"/>
    <n v="56364.7"/>
    <n v="63994.979999999996"/>
    <n v="7630.2799999999988"/>
  </r>
  <r>
    <d v="2023-02-10T00:00:00"/>
    <s v="Bob"/>
    <s v="West"/>
    <n v="3063.9"/>
    <n v="42"/>
    <x v="0"/>
    <n v="1080.1199999999999"/>
    <n v="1424.1699999999901"/>
    <s v="New"/>
    <n v="0.1"/>
    <s v="Cash"/>
    <s v="Online"/>
    <s v="West-Bob"/>
    <n v="45365.039999999994"/>
    <n v="59815.139999999585"/>
    <n v="14450.099999999591"/>
  </r>
  <r>
    <d v="2023-03-17T00:00:00"/>
    <s v="Bob"/>
    <s v="North"/>
    <n v="2401.81"/>
    <n v="28"/>
    <x v="2"/>
    <n v="3780.91"/>
    <n v="3892.73"/>
    <s v="Returning"/>
    <n v="0.1"/>
    <s v="Cash"/>
    <s v="Retail"/>
    <s v="North-Bob"/>
    <n v="105865.48"/>
    <n v="108996.44"/>
    <n v="3130.9600000000064"/>
  </r>
  <r>
    <d v="2023-02-15T00:00:00"/>
    <s v="Bob"/>
    <s v="West"/>
    <n v="1383.82"/>
    <n v="1"/>
    <x v="0"/>
    <n v="1304.23"/>
    <n v="1705.71"/>
    <s v="Returning"/>
    <n v="0.01"/>
    <s v="Cash"/>
    <s v="Retail"/>
    <s v="West-Bob"/>
    <n v="1304.23"/>
    <n v="1705.71"/>
    <n v="401.48"/>
  </r>
  <r>
    <d v="2023-06-09T00:00:00"/>
    <s v="Charlie"/>
    <s v="East"/>
    <n v="2638.98"/>
    <n v="35"/>
    <x v="0"/>
    <n v="4480.63"/>
    <n v="4884.12"/>
    <s v="New"/>
    <n v="0.04"/>
    <s v="Cash"/>
    <s v="Online"/>
    <s v="East-Charlie"/>
    <n v="156822.05000000002"/>
    <n v="170944.19999999998"/>
    <n v="14122.149999999965"/>
  </r>
  <r>
    <d v="2023-03-21T00:00:00"/>
    <s v="Eve"/>
    <s v="South"/>
    <n v="3617.67"/>
    <n v="40"/>
    <x v="1"/>
    <n v="2890.95"/>
    <n v="3104.43"/>
    <s v="New"/>
    <n v="0.21"/>
    <s v="Bank Transfer"/>
    <s v="Online"/>
    <s v="South-Eve"/>
    <n v="115638"/>
    <n v="124177.2"/>
    <n v="8539.1999999999971"/>
  </r>
  <r>
    <d v="2023-11-06T00:00:00"/>
    <s v="David"/>
    <s v="South"/>
    <n v="6772.54"/>
    <n v="8"/>
    <x v="1"/>
    <n v="1786.35"/>
    <n v="1935.29"/>
    <s v="New"/>
    <n v="0.04"/>
    <s v="Cash"/>
    <s v="Online"/>
    <s v="South-David"/>
    <n v="14290.8"/>
    <n v="15482.32"/>
    <n v="1191.5200000000004"/>
  </r>
  <r>
    <d v="2023-03-27T00:00:00"/>
    <s v="David"/>
    <s v="East"/>
    <n v="719.39"/>
    <n v="47"/>
    <x v="3"/>
    <n v="4171.83"/>
    <n v="4320.93"/>
    <s v="New"/>
    <n v="7.0000000000000007E-2"/>
    <s v="Cash"/>
    <s v="Online"/>
    <s v="East-David"/>
    <n v="196076.01"/>
    <n v="203083.71000000002"/>
    <n v="7007.7000000000116"/>
  </r>
  <r>
    <d v="2023-04-02T00:00:00"/>
    <s v="Charlie"/>
    <s v="West"/>
    <n v="2184.02"/>
    <n v="7"/>
    <x v="3"/>
    <n v="2492.36"/>
    <n v="2738.68"/>
    <s v="Returning"/>
    <n v="0.11"/>
    <s v="Cash"/>
    <s v="Online"/>
    <s v="West-Charlie"/>
    <n v="17446.52"/>
    <n v="19170.759999999998"/>
    <n v="1724.239999999998"/>
  </r>
  <r>
    <d v="2023-05-28T00:00:00"/>
    <s v="Bob"/>
    <s v="North"/>
    <n v="8109.33"/>
    <n v="11"/>
    <x v="1"/>
    <n v="4562.58"/>
    <n v="4925.17"/>
    <s v="New"/>
    <n v="0.23"/>
    <s v="Cash"/>
    <s v="Retail"/>
    <s v="North-Bob"/>
    <n v="50188.38"/>
    <n v="54176.87"/>
    <n v="3988.4900000000052"/>
  </r>
  <r>
    <d v="2023-06-10T00:00:00"/>
    <s v="Charlie"/>
    <s v="East"/>
    <n v="1554.53"/>
    <n v="39"/>
    <x v="0"/>
    <n v="4643.67"/>
    <n v="4829.5200000000004"/>
    <s v="Returning"/>
    <n v="0.17"/>
    <s v="Bank Transfer"/>
    <s v="Online"/>
    <s v="East-Charlie"/>
    <n v="181103.13"/>
    <n v="188351.28000000003"/>
    <n v="7248.1500000000233"/>
  </r>
  <r>
    <d v="2023-07-21T00:00:00"/>
    <s v="Charlie"/>
    <s v="East"/>
    <n v="3492.19"/>
    <n v="4"/>
    <x v="0"/>
    <n v="868.83"/>
    <n v="1177.75"/>
    <s v="Returning"/>
    <n v="0.21"/>
    <s v="Credit Card"/>
    <s v="Retail"/>
    <s v="East-Charlie"/>
    <n v="3475.32"/>
    <n v="4711"/>
    <n v="1235.6799999999998"/>
  </r>
  <r>
    <d v="2023-08-30T00:00:00"/>
    <s v="Alice"/>
    <s v="West"/>
    <n v="8660.1200000000008"/>
    <n v="25"/>
    <x v="3"/>
    <n v="61.5"/>
    <n v="258.91999999999899"/>
    <s v="New"/>
    <n v="0.17"/>
    <s v="Credit Card"/>
    <s v="Online"/>
    <s v="West-Alice"/>
    <n v="1537.5"/>
    <n v="6472.9999999999745"/>
    <n v="4935.4999999999745"/>
  </r>
  <r>
    <d v="2023-12-19T00:00:00"/>
    <s v="Eve"/>
    <s v="South"/>
    <n v="1633.76"/>
    <n v="12"/>
    <x v="3"/>
    <n v="4920.46"/>
    <n v="5079.68"/>
    <s v="New"/>
    <n v="0.21"/>
    <s v="Credit Card"/>
    <s v="Retail"/>
    <s v="South-Eve"/>
    <n v="59045.520000000004"/>
    <n v="60956.160000000003"/>
    <n v="1910.6399999999994"/>
  </r>
  <r>
    <d v="2023-01-02T00:00:00"/>
    <s v="David"/>
    <s v="West"/>
    <n v="919.09"/>
    <n v="26"/>
    <x v="3"/>
    <n v="4535.38"/>
    <n v="4557.5600000000004"/>
    <s v="New"/>
    <n v="0"/>
    <s v="Credit Card"/>
    <s v="Online"/>
    <s v="West-David"/>
    <n v="117919.88"/>
    <n v="118496.56000000001"/>
    <n v="576.68000000000757"/>
  </r>
  <r>
    <d v="2023-08-13T00:00:00"/>
    <s v="Bob"/>
    <s v="East"/>
    <n v="4896.93"/>
    <n v="38"/>
    <x v="2"/>
    <n v="324.45"/>
    <n v="336.37"/>
    <s v="New"/>
    <n v="0.28000000000000003"/>
    <s v="Credit Card"/>
    <s v="Retail"/>
    <s v="East-Bob"/>
    <n v="12329.1"/>
    <n v="12782.06"/>
    <n v="452.95999999999913"/>
  </r>
  <r>
    <d v="2023-10-16T00:00:00"/>
    <s v="David"/>
    <s v="East"/>
    <n v="3093.95"/>
    <n v="46"/>
    <x v="2"/>
    <n v="4173.5200000000004"/>
    <n v="4294.8500000000004"/>
    <s v="Returning"/>
    <n v="0.03"/>
    <s v="Bank Transfer"/>
    <s v="Retail"/>
    <s v="East-David"/>
    <n v="191981.92"/>
    <n v="197563.1"/>
    <n v="5581.179999999993"/>
  </r>
  <r>
    <d v="2023-08-21T00:00:00"/>
    <s v="David"/>
    <s v="South"/>
    <n v="5677.74"/>
    <n v="12"/>
    <x v="3"/>
    <n v="2316.13"/>
    <n v="2525.27"/>
    <s v="Returning"/>
    <n v="0.12"/>
    <s v="Credit Card"/>
    <s v="Retail"/>
    <s v="South-David"/>
    <n v="27793.56"/>
    <n v="30303.239999999998"/>
    <n v="2509.6799999999967"/>
  </r>
  <r>
    <d v="2023-03-18T00:00:00"/>
    <s v="Eve"/>
    <s v="South"/>
    <n v="8057.67"/>
    <n v="43"/>
    <x v="0"/>
    <n v="1331.86"/>
    <n v="1758.98"/>
    <s v="Returning"/>
    <n v="0.23"/>
    <s v="Bank Transfer"/>
    <s v="Retail"/>
    <s v="South-Eve"/>
    <n v="57269.979999999996"/>
    <n v="75636.14"/>
    <n v="18366.160000000003"/>
  </r>
  <r>
    <d v="2023-04-26T00:00:00"/>
    <s v="David"/>
    <s v="South"/>
    <n v="1457.77"/>
    <n v="37"/>
    <x v="3"/>
    <n v="4399.8"/>
    <n v="4801.0600000000004"/>
    <s v="New"/>
    <n v="0.13"/>
    <s v="Bank Transfer"/>
    <s v="Retail"/>
    <s v="South-David"/>
    <n v="162792.6"/>
    <n v="177639.22"/>
    <n v="14846.619999999995"/>
  </r>
  <r>
    <d v="2023-06-03T00:00:00"/>
    <s v="David"/>
    <s v="West"/>
    <n v="5848.92"/>
    <n v="46"/>
    <x v="2"/>
    <n v="1023.5"/>
    <n v="1164.4100000000001"/>
    <s v="Returning"/>
    <n v="0.28000000000000003"/>
    <s v="Credit Card"/>
    <s v="Retail"/>
    <s v="West-David"/>
    <n v="47081"/>
    <n v="53562.86"/>
    <n v="6481.8600000000006"/>
  </r>
  <r>
    <d v="2023-04-13T00:00:00"/>
    <s v="Charlie"/>
    <s v="South"/>
    <n v="5104.54"/>
    <n v="24"/>
    <x v="0"/>
    <n v="4739.13"/>
    <n v="4868.95"/>
    <s v="New"/>
    <n v="0.14000000000000001"/>
    <s v="Credit Card"/>
    <s v="Retail"/>
    <s v="South-Charlie"/>
    <n v="113739.12"/>
    <n v="116854.79999999999"/>
    <n v="3115.679999999993"/>
  </r>
  <r>
    <d v="2023-07-13T00:00:00"/>
    <s v="Eve"/>
    <s v="East"/>
    <n v="1526.38"/>
    <n v="16"/>
    <x v="2"/>
    <n v="1067.83"/>
    <n v="1189.22"/>
    <s v="Returning"/>
    <n v="0.26"/>
    <s v="Credit Card"/>
    <s v="Retail"/>
    <s v="East-Eve"/>
    <n v="17085.28"/>
    <n v="19027.52"/>
    <n v="1942.2400000000016"/>
  </r>
  <r>
    <d v="2023-06-15T00:00:00"/>
    <s v="Alice"/>
    <s v="East"/>
    <n v="6277.59"/>
    <n v="13"/>
    <x v="0"/>
    <n v="3087.73"/>
    <n v="3263.96"/>
    <s v="New"/>
    <n v="0.24"/>
    <s v="Cash"/>
    <s v="Retail"/>
    <s v="East-Alice"/>
    <n v="40140.49"/>
    <n v="42431.48"/>
    <n v="2290.9900000000052"/>
  </r>
  <r>
    <d v="2023-12-25T00:00:00"/>
    <s v="Bob"/>
    <s v="North"/>
    <n v="2809.04"/>
    <n v="25"/>
    <x v="2"/>
    <n v="1154.28"/>
    <n v="1408.4"/>
    <s v="Returning"/>
    <n v="0.28999999999999998"/>
    <s v="Bank Transfer"/>
    <s v="Retail"/>
    <s v="North-Bob"/>
    <n v="28857"/>
    <n v="35210"/>
    <n v="6353"/>
  </r>
  <r>
    <d v="2023-03-31T00:00:00"/>
    <s v="David"/>
    <s v="West"/>
    <n v="4929.5600000000004"/>
    <n v="4"/>
    <x v="0"/>
    <n v="2751.06"/>
    <n v="2976.0099999999902"/>
    <s v="Returning"/>
    <n v="0.28000000000000003"/>
    <s v="Credit Card"/>
    <s v="Online"/>
    <s v="West-David"/>
    <n v="11004.24"/>
    <n v="11904.039999999961"/>
    <n v="899.79999999996107"/>
  </r>
  <r>
    <d v="2023-06-23T00:00:00"/>
    <s v="Bob"/>
    <s v="North"/>
    <n v="914.5"/>
    <n v="11"/>
    <x v="0"/>
    <n v="3435.68"/>
    <n v="3552.6299999999901"/>
    <s v="New"/>
    <n v="0.27"/>
    <s v="Cash"/>
    <s v="Retail"/>
    <s v="North-Bob"/>
    <n v="37792.479999999996"/>
    <n v="39078.929999999891"/>
    <n v="1286.4499999998952"/>
  </r>
  <r>
    <d v="2023-05-02T00:00:00"/>
    <s v="Alice"/>
    <s v="East"/>
    <n v="4649.88"/>
    <n v="32"/>
    <x v="0"/>
    <n v="991.63"/>
    <n v="1065.55"/>
    <s v="Returning"/>
    <n v="0.22"/>
    <s v="Bank Transfer"/>
    <s v="Retail"/>
    <s v="East-Alice"/>
    <n v="31732.16"/>
    <n v="34097.599999999999"/>
    <n v="2365.4399999999987"/>
  </r>
  <r>
    <d v="2023-05-23T00:00:00"/>
    <s v="Bob"/>
    <s v="North"/>
    <n v="3133.99"/>
    <n v="49"/>
    <x v="0"/>
    <n v="2628.38"/>
    <n v="2644.54"/>
    <s v="Returning"/>
    <n v="0.11"/>
    <s v="Cash"/>
    <s v="Online"/>
    <s v="North-Bob"/>
    <n v="128790.62000000001"/>
    <n v="129582.45999999999"/>
    <n v="791.83999999998196"/>
  </r>
  <r>
    <d v="2023-04-16T00:00:00"/>
    <s v="Alice"/>
    <s v="East"/>
    <n v="8241.57"/>
    <n v="7"/>
    <x v="1"/>
    <n v="2371.85"/>
    <n v="2457.29"/>
    <s v="New"/>
    <n v="0.03"/>
    <s v="Cash"/>
    <s v="Retail"/>
    <s v="East-Alice"/>
    <n v="16602.95"/>
    <n v="17201.03"/>
    <n v="598.07999999999811"/>
  </r>
  <r>
    <d v="2023-11-01T00:00:00"/>
    <s v="Charlie"/>
    <s v="North"/>
    <n v="664.09"/>
    <n v="46"/>
    <x v="2"/>
    <n v="401.64"/>
    <n v="757.26"/>
    <s v="New"/>
    <n v="0.21"/>
    <s v="Credit Card"/>
    <s v="Retail"/>
    <s v="North-Charlie"/>
    <n v="18475.439999999999"/>
    <n v="34833.96"/>
    <n v="16358.52"/>
  </r>
  <r>
    <d v="2023-12-26T00:00:00"/>
    <s v="David"/>
    <s v="South"/>
    <n v="4244.21"/>
    <n v="11"/>
    <x v="2"/>
    <n v="4100.62"/>
    <n v="4230"/>
    <s v="New"/>
    <n v="0.28999999999999998"/>
    <s v="Bank Transfer"/>
    <s v="Online"/>
    <s v="South-David"/>
    <n v="45106.82"/>
    <n v="46530"/>
    <n v="1423.1800000000003"/>
  </r>
  <r>
    <d v="2023-11-13T00:00:00"/>
    <s v="Alice"/>
    <s v="North"/>
    <n v="4638.47"/>
    <n v="28"/>
    <x v="1"/>
    <n v="1711.63"/>
    <n v="1951.24"/>
    <s v="New"/>
    <n v="0.22"/>
    <s v="Cash"/>
    <s v="Online"/>
    <s v="North-Alice"/>
    <n v="47925.64"/>
    <n v="54634.720000000001"/>
    <n v="6709.0800000000017"/>
  </r>
  <r>
    <d v="2023-05-03T00:00:00"/>
    <s v="Bob"/>
    <s v="South"/>
    <n v="7277.56"/>
    <n v="41"/>
    <x v="0"/>
    <n v="2894.18"/>
    <n v="3193.92"/>
    <s v="New"/>
    <n v="0.28000000000000003"/>
    <s v="Bank Transfer"/>
    <s v="Retail"/>
    <s v="South-Bob"/>
    <n v="118661.37999999999"/>
    <n v="130950.72"/>
    <n v="12289.340000000011"/>
  </r>
  <r>
    <d v="2023-01-09T00:00:00"/>
    <s v="David"/>
    <s v="South"/>
    <n v="5785.45"/>
    <n v="23"/>
    <x v="0"/>
    <n v="2598.1799999999998"/>
    <n v="3042.73"/>
    <s v="Returning"/>
    <n v="0.24"/>
    <s v="Credit Card"/>
    <s v="Online"/>
    <s v="South-David"/>
    <n v="59758.14"/>
    <n v="69982.789999999994"/>
    <n v="10224.649999999994"/>
  </r>
  <r>
    <d v="2023-09-19T00:00:00"/>
    <s v="Charlie"/>
    <s v="West"/>
    <n v="6705.4"/>
    <n v="45"/>
    <x v="2"/>
    <n v="2590.64"/>
    <n v="3036.18"/>
    <s v="New"/>
    <n v="0.05"/>
    <s v="Bank Transfer"/>
    <s v="Retail"/>
    <s v="West-Charlie"/>
    <n v="116578.79999999999"/>
    <n v="136628.1"/>
    <n v="20049.300000000017"/>
  </r>
  <r>
    <d v="2023-03-14T00:00:00"/>
    <s v="David"/>
    <s v="South"/>
    <n v="7792.79"/>
    <n v="23"/>
    <x v="1"/>
    <n v="580.75"/>
    <n v="956.16"/>
    <s v="Returning"/>
    <n v="7.0000000000000007E-2"/>
    <s v="Cash"/>
    <s v="Retail"/>
    <s v="South-David"/>
    <n v="13357.25"/>
    <n v="21991.68"/>
    <n v="8634.43"/>
  </r>
  <r>
    <d v="2023-12-25T00:00:00"/>
    <s v="Alice"/>
    <s v="South"/>
    <n v="8635.81"/>
    <n v="28"/>
    <x v="0"/>
    <n v="2146.2399999999998"/>
    <n v="2173.4699999999998"/>
    <s v="Returning"/>
    <n v="0.1"/>
    <s v="Cash"/>
    <s v="Retail"/>
    <s v="South-Alice"/>
    <n v="60094.719999999994"/>
    <n v="60857.159999999996"/>
    <n v="762.44000000000233"/>
  </r>
  <r>
    <d v="2023-08-11T00:00:00"/>
    <s v="Charlie"/>
    <s v="North"/>
    <n v="3207.37"/>
    <n v="43"/>
    <x v="0"/>
    <n v="2289.2199999999998"/>
    <n v="2581"/>
    <s v="New"/>
    <n v="0.05"/>
    <s v="Bank Transfer"/>
    <s v="Online"/>
    <s v="North-Charlie"/>
    <n v="98436.459999999992"/>
    <n v="110983"/>
    <n v="12546.540000000008"/>
  </r>
  <r>
    <d v="2023-02-10T00:00:00"/>
    <s v="Bob"/>
    <s v="East"/>
    <n v="5426.42"/>
    <n v="47"/>
    <x v="0"/>
    <n v="3681.53"/>
    <n v="4076.96"/>
    <s v="Returning"/>
    <n v="0.17"/>
    <s v="Cash"/>
    <s v="Retail"/>
    <s v="East-Bob"/>
    <n v="173031.91"/>
    <n v="191617.12"/>
    <n v="18585.209999999992"/>
  </r>
  <r>
    <d v="2023-07-23T00:00:00"/>
    <s v="Charlie"/>
    <s v="West"/>
    <n v="8417.07"/>
    <n v="26"/>
    <x v="3"/>
    <n v="4208.09"/>
    <n v="4226.5600000000004"/>
    <s v="Returning"/>
    <n v="0.28999999999999998"/>
    <s v="Cash"/>
    <s v="Retail"/>
    <s v="West-Charlie"/>
    <n v="109410.34"/>
    <n v="109890.56000000001"/>
    <n v="480.22000000001572"/>
  </r>
  <r>
    <d v="2023-09-21T00:00:00"/>
    <s v="Charlie"/>
    <s v="South"/>
    <n v="9895.57"/>
    <n v="25"/>
    <x v="1"/>
    <n v="2747.66"/>
    <n v="3027.0099999999902"/>
    <s v="New"/>
    <n v="0.23"/>
    <s v="Cash"/>
    <s v="Online"/>
    <s v="South-Charlie"/>
    <n v="68691.5"/>
    <n v="75675.249999999753"/>
    <n v="6983.7499999997526"/>
  </r>
  <r>
    <d v="2023-11-24T00:00:00"/>
    <s v="Eve"/>
    <s v="West"/>
    <n v="8906.24"/>
    <n v="29"/>
    <x v="0"/>
    <n v="479.58"/>
    <n v="909.88"/>
    <s v="Returning"/>
    <n v="0.13"/>
    <s v="Credit Card"/>
    <s v="Retail"/>
    <s v="West-Eve"/>
    <n v="13907.82"/>
    <n v="26386.52"/>
    <n v="12478.7"/>
  </r>
  <r>
    <d v="2023-06-27T00:00:00"/>
    <s v="Charlie"/>
    <s v="North"/>
    <n v="3777.53"/>
    <n v="19"/>
    <x v="3"/>
    <n v="1222.4000000000001"/>
    <n v="1464.71"/>
    <s v="New"/>
    <n v="0"/>
    <s v="Credit Card"/>
    <s v="Retail"/>
    <s v="North-Charlie"/>
    <n v="23225.600000000002"/>
    <n v="27829.49"/>
    <n v="4603.8899999999994"/>
  </r>
  <r>
    <d v="2023-12-14T00:00:00"/>
    <s v="Charlie"/>
    <s v="South"/>
    <n v="2032.15"/>
    <n v="33"/>
    <x v="1"/>
    <n v="866.42"/>
    <n v="878.43"/>
    <s v="New"/>
    <n v="0.09"/>
    <s v="Cash"/>
    <s v="Retail"/>
    <s v="South-Charlie"/>
    <n v="28591.859999999997"/>
    <n v="28988.19"/>
    <n v="396.33000000000175"/>
  </r>
  <r>
    <d v="2023-11-14T00:00:00"/>
    <s v="David"/>
    <s v="North"/>
    <n v="4944.99"/>
    <n v="36"/>
    <x v="0"/>
    <n v="666.84"/>
    <n v="682.24"/>
    <s v="New"/>
    <n v="0.16"/>
    <s v="Bank Transfer"/>
    <s v="Retail"/>
    <s v="North-David"/>
    <n v="24006.240000000002"/>
    <n v="24560.639999999999"/>
    <n v="554.39999999999782"/>
  </r>
  <r>
    <d v="2023-03-25T00:00:00"/>
    <s v="Bob"/>
    <s v="West"/>
    <n v="7442.25"/>
    <n v="14"/>
    <x v="2"/>
    <n v="1861.2"/>
    <n v="2075.35"/>
    <s v="Returning"/>
    <n v="0.1"/>
    <s v="Credit Card"/>
    <s v="Retail"/>
    <s v="West-Bob"/>
    <n v="26056.799999999999"/>
    <n v="29054.899999999998"/>
    <n v="2998.0999999999985"/>
  </r>
  <r>
    <d v="2023-11-14T00:00:00"/>
    <s v="David"/>
    <s v="North"/>
    <n v="4976.43"/>
    <n v="14"/>
    <x v="3"/>
    <n v="1185.5"/>
    <n v="1271.45"/>
    <s v="Returning"/>
    <n v="0.03"/>
    <s v="Bank Transfer"/>
    <s v="Retail"/>
    <s v="North-David"/>
    <n v="16597"/>
    <n v="17800.3"/>
    <n v="1203.2999999999993"/>
  </r>
  <r>
    <d v="2023-04-21T00:00:00"/>
    <s v="David"/>
    <s v="West"/>
    <n v="4883.49"/>
    <n v="35"/>
    <x v="3"/>
    <n v="1130.5999999999999"/>
    <n v="1466.1799999999901"/>
    <s v="Returning"/>
    <n v="0.13"/>
    <s v="Cash"/>
    <s v="Online"/>
    <s v="West-David"/>
    <n v="39571"/>
    <n v="51316.299999999654"/>
    <n v="11745.299999999654"/>
  </r>
  <r>
    <d v="2023-09-08T00:00:00"/>
    <s v="Alice"/>
    <s v="North"/>
    <n v="8398.48"/>
    <n v="30"/>
    <x v="0"/>
    <n v="320.73"/>
    <n v="678.04"/>
    <s v="Returning"/>
    <n v="0.08"/>
    <s v="Cash"/>
    <s v="Retail"/>
    <s v="North-Alice"/>
    <n v="9621.9000000000015"/>
    <n v="20341.199999999997"/>
    <n v="10719.299999999996"/>
  </r>
  <r>
    <d v="2023-01-07T00:00:00"/>
    <s v="David"/>
    <s v="West"/>
    <n v="3677.9"/>
    <n v="28"/>
    <x v="0"/>
    <n v="137.47"/>
    <n v="234.63"/>
    <s v="New"/>
    <n v="0.27"/>
    <s v="Bank Transfer"/>
    <s v="Retail"/>
    <s v="West-David"/>
    <n v="3849.16"/>
    <n v="6569.6399999999994"/>
    <n v="2720.4799999999996"/>
  </r>
  <r>
    <d v="2023-03-25T00:00:00"/>
    <s v="Eve"/>
    <s v="East"/>
    <n v="8611.9699999999993"/>
    <n v="17"/>
    <x v="3"/>
    <n v="558.70000000000005"/>
    <n v="1004.08"/>
    <s v="Returning"/>
    <n v="0.03"/>
    <s v="Credit Card"/>
    <s v="Online"/>
    <s v="East-Eve"/>
    <n v="9497.9000000000015"/>
    <n v="17069.36"/>
    <n v="7571.4599999999991"/>
  </r>
  <r>
    <d v="2023-07-27T00:00:00"/>
    <s v="Eve"/>
    <s v="North"/>
    <n v="4127.37"/>
    <n v="3"/>
    <x v="2"/>
    <n v="902.38"/>
    <n v="1128.9100000000001"/>
    <s v="New"/>
    <n v="0.01"/>
    <s v="Bank Transfer"/>
    <s v="Retail"/>
    <s v="North-Eve"/>
    <n v="2707.14"/>
    <n v="3386.7300000000005"/>
    <n v="679.5900000000006"/>
  </r>
  <r>
    <d v="2023-11-10T00:00:00"/>
    <s v="Alice"/>
    <s v="North"/>
    <n v="3349.51"/>
    <n v="16"/>
    <x v="2"/>
    <n v="2183.37"/>
    <n v="2263.3599999999901"/>
    <s v="Returning"/>
    <n v="0"/>
    <s v="Bank Transfer"/>
    <s v="Retail"/>
    <s v="North-Alice"/>
    <n v="34933.919999999998"/>
    <n v="36213.759999999842"/>
    <n v="1279.8399999998437"/>
  </r>
  <r>
    <d v="2023-01-22T00:00:00"/>
    <s v="Bob"/>
    <s v="East"/>
    <n v="4594.5"/>
    <n v="46"/>
    <x v="1"/>
    <n v="2577.08"/>
    <n v="2961.56"/>
    <s v="Returning"/>
    <n v="0.1"/>
    <s v="Cash"/>
    <s v="Online"/>
    <s v="East-Bob"/>
    <n v="118545.68"/>
    <n v="136231.76"/>
    <n v="17686.080000000016"/>
  </r>
  <r>
    <d v="2023-01-03T00:00:00"/>
    <s v="Bob"/>
    <s v="East"/>
    <n v="7648.22"/>
    <n v="30"/>
    <x v="0"/>
    <n v="745.93"/>
    <n v="1143.02"/>
    <s v="Returning"/>
    <n v="0.2"/>
    <s v="Credit Card"/>
    <s v="Online"/>
    <s v="East-Bob"/>
    <n v="22377.899999999998"/>
    <n v="34290.6"/>
    <n v="11912.7"/>
  </r>
  <r>
    <d v="2023-05-07T00:00:00"/>
    <s v="David"/>
    <s v="North"/>
    <n v="1347.42"/>
    <n v="29"/>
    <x v="2"/>
    <n v="2152.6799999999998"/>
    <n v="2475.9299999999998"/>
    <s v="Returning"/>
    <n v="0.22"/>
    <s v="Bank Transfer"/>
    <s v="Online"/>
    <s v="North-David"/>
    <n v="62427.719999999994"/>
    <n v="71801.97"/>
    <n v="9374.2500000000073"/>
  </r>
  <r>
    <d v="2023-10-24T00:00:00"/>
    <s v="David"/>
    <s v="East"/>
    <n v="2044.55"/>
    <n v="45"/>
    <x v="1"/>
    <n v="1741.66"/>
    <n v="2169.86"/>
    <s v="Returning"/>
    <n v="0.14000000000000001"/>
    <s v="Credit Card"/>
    <s v="Online"/>
    <s v="East-David"/>
    <n v="78374.7"/>
    <n v="97643.700000000012"/>
    <n v="19269.000000000015"/>
  </r>
  <r>
    <d v="2023-07-07T00:00:00"/>
    <s v="David"/>
    <s v="South"/>
    <n v="9519.2999999999993"/>
    <n v="15"/>
    <x v="2"/>
    <n v="957.95"/>
    <n v="1329.26"/>
    <s v="New"/>
    <n v="0.21"/>
    <s v="Cash"/>
    <s v="Online"/>
    <s v="South-David"/>
    <n v="14369.25"/>
    <n v="19938.900000000001"/>
    <n v="5569.6500000000015"/>
  </r>
  <r>
    <d v="2023-12-28T00:00:00"/>
    <s v="Bob"/>
    <s v="West"/>
    <n v="1837.37"/>
    <n v="46"/>
    <x v="0"/>
    <n v="83.86"/>
    <n v="526.14"/>
    <s v="Returning"/>
    <n v="0.11"/>
    <s v="Credit Card"/>
    <s v="Online"/>
    <s v="West-Bob"/>
    <n v="3857.56"/>
    <n v="24202.44"/>
    <n v="20344.879999999997"/>
  </r>
  <r>
    <d v="2023-01-14T00:00:00"/>
    <s v="Charlie"/>
    <s v="West"/>
    <n v="5720.5"/>
    <n v="25"/>
    <x v="1"/>
    <n v="2361.7399999999998"/>
    <n v="2584.35"/>
    <s v="Returning"/>
    <n v="0.2"/>
    <s v="Cash"/>
    <s v="Online"/>
    <s v="West-Charlie"/>
    <n v="59043.499999999993"/>
    <n v="64608.75"/>
    <n v="5565.2500000000073"/>
  </r>
  <r>
    <d v="2023-01-12T00:00:00"/>
    <s v="Eve"/>
    <s v="West"/>
    <n v="5835.21"/>
    <n v="38"/>
    <x v="1"/>
    <n v="3443.98"/>
    <n v="3820.3"/>
    <s v="Returning"/>
    <n v="0.01"/>
    <s v="Credit Card"/>
    <s v="Retail"/>
    <s v="West-Eve"/>
    <n v="130871.24"/>
    <n v="145171.4"/>
    <n v="14300.159999999989"/>
  </r>
  <r>
    <d v="2023-03-28T00:00:00"/>
    <s v="Charlie"/>
    <s v="South"/>
    <n v="4947.28"/>
    <n v="42"/>
    <x v="1"/>
    <n v="1170.07"/>
    <n v="1669.94999999999"/>
    <s v="Returning"/>
    <n v="0.12"/>
    <s v="Bank Transfer"/>
    <s v="Retail"/>
    <s v="South-Charlie"/>
    <n v="49142.939999999995"/>
    <n v="70137.899999999587"/>
    <n v="20994.959999999592"/>
  </r>
  <r>
    <d v="2023-01-12T00:00:00"/>
    <s v="Charlie"/>
    <s v="East"/>
    <n v="6482.98"/>
    <n v="47"/>
    <x v="2"/>
    <n v="702.44"/>
    <n v="1067.6600000000001"/>
    <s v="New"/>
    <n v="0.24"/>
    <s v="Cash"/>
    <s v="Retail"/>
    <s v="East-Charlie"/>
    <n v="33014.68"/>
    <n v="50180.020000000004"/>
    <n v="17165.340000000004"/>
  </r>
  <r>
    <d v="2023-01-25T00:00:00"/>
    <s v="Bob"/>
    <s v="East"/>
    <n v="2375.2800000000002"/>
    <n v="38"/>
    <x v="0"/>
    <n v="4440.8599999999997"/>
    <n v="4506.8099999999904"/>
    <s v="Returning"/>
    <n v="0.24"/>
    <s v="Bank Transfer"/>
    <s v="Online"/>
    <s v="East-Bob"/>
    <n v="168752.68"/>
    <n v="171258.77999999962"/>
    <n v="2506.0999999996275"/>
  </r>
  <r>
    <d v="2023-10-28T00:00:00"/>
    <s v="Charlie"/>
    <s v="North"/>
    <n v="5571.36"/>
    <n v="23"/>
    <x v="1"/>
    <n v="1411.37"/>
    <n v="1675.35"/>
    <s v="New"/>
    <n v="0.21"/>
    <s v="Cash"/>
    <s v="Retail"/>
    <s v="North-Charlie"/>
    <n v="32461.51"/>
    <n v="38533.049999999996"/>
    <n v="6071.5399999999972"/>
  </r>
  <r>
    <d v="2023-08-31T00:00:00"/>
    <s v="Alice"/>
    <s v="East"/>
    <n v="3784.52"/>
    <n v="25"/>
    <x v="3"/>
    <n v="1156.8800000000001"/>
    <n v="1454.68"/>
    <s v="Returning"/>
    <n v="0.06"/>
    <s v="Credit Card"/>
    <s v="Online"/>
    <s v="East-Alice"/>
    <n v="28922.000000000004"/>
    <n v="36367"/>
    <n v="7444.9999999999964"/>
  </r>
  <r>
    <d v="2023-05-02T00:00:00"/>
    <s v="David"/>
    <s v="North"/>
    <n v="6650.51"/>
    <n v="42"/>
    <x v="0"/>
    <n v="4292.63"/>
    <n v="4387.99"/>
    <s v="New"/>
    <n v="7.0000000000000007E-2"/>
    <s v="Credit Card"/>
    <s v="Retail"/>
    <s v="North-David"/>
    <n v="180290.46"/>
    <n v="184295.58"/>
    <n v="4005.1199999999953"/>
  </r>
  <r>
    <d v="2023-05-27T00:00:00"/>
    <s v="Alice"/>
    <s v="South"/>
    <n v="1498.11"/>
    <n v="7"/>
    <x v="3"/>
    <n v="4094.68"/>
    <n v="4576.5"/>
    <s v="New"/>
    <n v="0.3"/>
    <s v="Cash"/>
    <s v="Retail"/>
    <s v="South-Alice"/>
    <n v="28662.76"/>
    <n v="32035.5"/>
    <n v="3372.7400000000016"/>
  </r>
  <r>
    <d v="2023-02-24T00:00:00"/>
    <s v="Eve"/>
    <s v="West"/>
    <n v="5751.69"/>
    <n v="22"/>
    <x v="3"/>
    <n v="2269.3200000000002"/>
    <n v="2365.35"/>
    <s v="New"/>
    <n v="0.03"/>
    <s v="Cash"/>
    <s v="Retail"/>
    <s v="West-Eve"/>
    <n v="49925.04"/>
    <n v="52037.7"/>
    <n v="2112.6599999999962"/>
  </r>
  <r>
    <d v="2023-08-26T00:00:00"/>
    <s v="David"/>
    <s v="West"/>
    <n v="1934.18"/>
    <n v="17"/>
    <x v="1"/>
    <n v="2471.73"/>
    <n v="2568.73"/>
    <s v="New"/>
    <n v="0.05"/>
    <s v="Cash"/>
    <s v="Retail"/>
    <s v="West-David"/>
    <n v="42019.41"/>
    <n v="43668.41"/>
    <n v="1649"/>
  </r>
  <r>
    <d v="2023-12-22T00:00:00"/>
    <s v="Charlie"/>
    <s v="West"/>
    <n v="2858.57"/>
    <n v="18"/>
    <x v="1"/>
    <n v="1127.8599999999999"/>
    <n v="1586.29"/>
    <s v="New"/>
    <n v="0.04"/>
    <s v="Credit Card"/>
    <s v="Online"/>
    <s v="West-Charlie"/>
    <n v="20301.48"/>
    <n v="28553.22"/>
    <n v="8251.7400000000016"/>
  </r>
  <r>
    <d v="2023-06-22T00:00:00"/>
    <s v="Eve"/>
    <s v="East"/>
    <n v="2265.23"/>
    <n v="49"/>
    <x v="2"/>
    <n v="437.59"/>
    <n v="675.54"/>
    <s v="Returning"/>
    <n v="0.1"/>
    <s v="Cash"/>
    <s v="Online"/>
    <s v="East-Eve"/>
    <n v="21441.91"/>
    <n v="33101.46"/>
    <n v="11659.55"/>
  </r>
  <r>
    <d v="2023-08-09T00:00:00"/>
    <s v="David"/>
    <s v="North"/>
    <n v="1910.09"/>
    <n v="41"/>
    <x v="2"/>
    <n v="2888.49"/>
    <n v="2929.45"/>
    <s v="New"/>
    <n v="0.06"/>
    <s v="Cash"/>
    <s v="Retail"/>
    <s v="North-David"/>
    <n v="118428.09"/>
    <n v="120107.45"/>
    <n v="1679.3600000000006"/>
  </r>
  <r>
    <d v="2023-04-29T00:00:00"/>
    <s v="Charlie"/>
    <s v="North"/>
    <n v="8274.5400000000009"/>
    <n v="10"/>
    <x v="2"/>
    <n v="536.80999999999995"/>
    <n v="839.92"/>
    <s v="Returning"/>
    <n v="0.15"/>
    <s v="Bank Transfer"/>
    <s v="Online"/>
    <s v="North-Charlie"/>
    <n v="5368.0999999999995"/>
    <n v="8399.1999999999989"/>
    <n v="3031.0999999999995"/>
  </r>
  <r>
    <d v="2023-11-05T00:00:00"/>
    <s v="Alice"/>
    <s v="South"/>
    <n v="2928.5"/>
    <n v="10"/>
    <x v="0"/>
    <n v="2273.91"/>
    <n v="2578.7999999999902"/>
    <s v="New"/>
    <n v="0.14000000000000001"/>
    <s v="Cash"/>
    <s v="Online"/>
    <s v="South-Alice"/>
    <n v="22739.1"/>
    <n v="25787.999999999902"/>
    <n v="3048.8999999999032"/>
  </r>
  <r>
    <d v="2023-07-02T00:00:00"/>
    <s v="David"/>
    <s v="East"/>
    <n v="9278.5300000000007"/>
    <n v="7"/>
    <x v="2"/>
    <n v="4705.46"/>
    <n v="4747.07"/>
    <s v="New"/>
    <n v="0.27"/>
    <s v="Bank Transfer"/>
    <s v="Retail"/>
    <s v="East-David"/>
    <n v="32938.22"/>
    <n v="33229.49"/>
    <n v="291.2699999999968"/>
  </r>
  <r>
    <d v="2023-10-15T00:00:00"/>
    <s v="Charlie"/>
    <s v="South"/>
    <n v="9702.27"/>
    <n v="48"/>
    <x v="3"/>
    <n v="4766.53"/>
    <n v="5253.07"/>
    <s v="Returning"/>
    <n v="0.01"/>
    <s v="Bank Transfer"/>
    <s v="Online"/>
    <s v="South-Charlie"/>
    <n v="228793.44"/>
    <n v="252147.36"/>
    <n v="23353.919999999984"/>
  </r>
  <r>
    <d v="2023-11-03T00:00:00"/>
    <s v="Alice"/>
    <s v="North"/>
    <n v="5755.48"/>
    <n v="38"/>
    <x v="2"/>
    <n v="1234.69"/>
    <n v="1511.26"/>
    <s v="New"/>
    <n v="0.1"/>
    <s v="Bank Transfer"/>
    <s v="Online"/>
    <s v="North-Alice"/>
    <n v="46918.22"/>
    <n v="57427.88"/>
    <n v="10509.659999999996"/>
  </r>
  <r>
    <d v="2023-10-27T00:00:00"/>
    <s v="Eve"/>
    <s v="North"/>
    <n v="1515.71"/>
    <n v="27"/>
    <x v="1"/>
    <n v="3139.36"/>
    <n v="3423.66"/>
    <s v="New"/>
    <n v="0.18"/>
    <s v="Credit Card"/>
    <s v="Online"/>
    <s v="North-Eve"/>
    <n v="84762.72"/>
    <n v="92438.819999999992"/>
    <n v="7676.0999999999913"/>
  </r>
  <r>
    <d v="2023-03-23T00:00:00"/>
    <s v="Eve"/>
    <s v="West"/>
    <n v="3808.03"/>
    <n v="33"/>
    <x v="2"/>
    <n v="2396.6799999999998"/>
    <n v="2661.54"/>
    <s v="New"/>
    <n v="0.18"/>
    <s v="Bank Transfer"/>
    <s v="Online"/>
    <s v="West-Eve"/>
    <n v="79090.439999999988"/>
    <n v="87830.819999999992"/>
    <n v="8740.3800000000047"/>
  </r>
  <r>
    <d v="2023-07-30T00:00:00"/>
    <s v="Eve"/>
    <s v="East"/>
    <n v="7997.55"/>
    <n v="1"/>
    <x v="0"/>
    <n v="4384.6400000000003"/>
    <n v="4693.8999999999996"/>
    <s v="New"/>
    <n v="0.14000000000000001"/>
    <s v="Cash"/>
    <s v="Retail"/>
    <s v="East-Eve"/>
    <n v="4384.6400000000003"/>
    <n v="4693.8999999999996"/>
    <n v="309.25999999999931"/>
  </r>
  <r>
    <d v="2023-05-30T00:00:00"/>
    <s v="Eve"/>
    <s v="North"/>
    <n v="3737.17"/>
    <n v="44"/>
    <x v="0"/>
    <n v="1393.58"/>
    <n v="1533.09"/>
    <s v="Returning"/>
    <n v="0.24"/>
    <s v="Credit Card"/>
    <s v="Retail"/>
    <s v="North-Eve"/>
    <n v="61317.52"/>
    <n v="67455.959999999992"/>
    <n v="6138.4399999999951"/>
  </r>
  <r>
    <d v="2023-02-06T00:00:00"/>
    <s v="Bob"/>
    <s v="West"/>
    <n v="961.47"/>
    <n v="34"/>
    <x v="3"/>
    <n v="68.33"/>
    <n v="219.07999999999899"/>
    <s v="New"/>
    <n v="0.02"/>
    <s v="Credit Card"/>
    <s v="Online"/>
    <s v="West-Bob"/>
    <n v="2323.2199999999998"/>
    <n v="7448.7199999999657"/>
    <n v="5125.4999999999654"/>
  </r>
  <r>
    <d v="2023-12-18T00:00:00"/>
    <s v="David"/>
    <s v="East"/>
    <n v="5612.17"/>
    <n v="4"/>
    <x v="0"/>
    <n v="854.68"/>
    <n v="1115.24"/>
    <s v="New"/>
    <n v="0.24"/>
    <s v="Credit Card"/>
    <s v="Retail"/>
    <s v="East-David"/>
    <n v="3418.72"/>
    <n v="4460.96"/>
    <n v="1042.2400000000002"/>
  </r>
  <r>
    <d v="2023-11-08T00:00:00"/>
    <s v="David"/>
    <s v="South"/>
    <n v="8466.7000000000007"/>
    <n v="17"/>
    <x v="2"/>
    <n v="1780.14"/>
    <n v="2185.42"/>
    <s v="Returning"/>
    <n v="0.15"/>
    <s v="Credit Card"/>
    <s v="Retail"/>
    <s v="South-David"/>
    <n v="30262.38"/>
    <n v="37152.14"/>
    <n v="6889.7599999999984"/>
  </r>
  <r>
    <d v="2023-12-27T00:00:00"/>
    <s v="Bob"/>
    <s v="East"/>
    <n v="7979.67"/>
    <n v="4"/>
    <x v="1"/>
    <n v="1612.82"/>
    <n v="1647.25"/>
    <s v="Returning"/>
    <n v="0.04"/>
    <s v="Credit Card"/>
    <s v="Retail"/>
    <s v="East-Bob"/>
    <n v="6451.28"/>
    <n v="6589"/>
    <n v="137.72000000000025"/>
  </r>
  <r>
    <d v="2023-02-28T00:00:00"/>
    <s v="Charlie"/>
    <s v="East"/>
    <n v="1833.72"/>
    <n v="43"/>
    <x v="0"/>
    <n v="3967.25"/>
    <n v="4272.92"/>
    <s v="New"/>
    <n v="0.27"/>
    <s v="Credit Card"/>
    <s v="Online"/>
    <s v="East-Charlie"/>
    <n v="170591.75"/>
    <n v="183735.56"/>
    <n v="13143.809999999998"/>
  </r>
  <r>
    <d v="2023-05-11T00:00:00"/>
    <s v="Charlie"/>
    <s v="North"/>
    <n v="6760.37"/>
    <n v="26"/>
    <x v="3"/>
    <n v="3418.78"/>
    <n v="3824.1"/>
    <s v="New"/>
    <n v="0.19"/>
    <s v="Credit Card"/>
    <s v="Online"/>
    <s v="North-Charlie"/>
    <n v="88888.28"/>
    <n v="99426.599999999991"/>
    <n v="10538.319999999992"/>
  </r>
  <r>
    <d v="2023-07-21T00:00:00"/>
    <s v="Eve"/>
    <s v="North"/>
    <n v="2282.9899999999998"/>
    <n v="4"/>
    <x v="2"/>
    <n v="1532.8"/>
    <n v="1619.69"/>
    <s v="Returning"/>
    <n v="0.05"/>
    <s v="Bank Transfer"/>
    <s v="Retail"/>
    <s v="North-Eve"/>
    <n v="6131.2"/>
    <n v="6478.76"/>
    <n v="347.5600000000004"/>
  </r>
  <r>
    <d v="2023-08-31T00:00:00"/>
    <s v="Alice"/>
    <s v="East"/>
    <n v="2260.25"/>
    <n v="1"/>
    <x v="3"/>
    <n v="2315.83"/>
    <n v="2333.19"/>
    <s v="New"/>
    <n v="0.01"/>
    <s v="Cash"/>
    <s v="Retail"/>
    <s v="East-Alice"/>
    <n v="2315.83"/>
    <n v="2333.19"/>
    <n v="17.360000000000127"/>
  </r>
  <r>
    <d v="2023-02-04T00:00:00"/>
    <s v="Charlie"/>
    <s v="North"/>
    <n v="8753.31"/>
    <n v="7"/>
    <x v="0"/>
    <n v="523.02"/>
    <n v="686.25"/>
    <s v="Returning"/>
    <n v="0.04"/>
    <s v="Cash"/>
    <s v="Online"/>
    <s v="North-Charlie"/>
    <n v="3661.14"/>
    <n v="4803.75"/>
    <n v="1142.6100000000001"/>
  </r>
  <r>
    <d v="2023-04-03T00:00:00"/>
    <s v="Alice"/>
    <s v="North"/>
    <n v="2571.7199999999998"/>
    <n v="30"/>
    <x v="0"/>
    <n v="4495.82"/>
    <n v="4794.0099999999902"/>
    <s v="New"/>
    <n v="0.18"/>
    <s v="Bank Transfer"/>
    <s v="Retail"/>
    <s v="North-Alice"/>
    <n v="134874.59999999998"/>
    <n v="143820.2999999997"/>
    <n v="8945.6999999997206"/>
  </r>
  <r>
    <d v="2023-07-26T00:00:00"/>
    <s v="David"/>
    <s v="North"/>
    <n v="2706.15"/>
    <n v="9"/>
    <x v="3"/>
    <n v="4680.3500000000004"/>
    <n v="4758.1099999999997"/>
    <s v="Returning"/>
    <n v="0.05"/>
    <s v="Bank Transfer"/>
    <s v="Online"/>
    <s v="North-David"/>
    <n v="42123.15"/>
    <n v="42822.99"/>
    <n v="699.83999999999651"/>
  </r>
  <r>
    <d v="2023-12-19T00:00:00"/>
    <s v="Alice"/>
    <s v="West"/>
    <n v="106.47"/>
    <n v="35"/>
    <x v="2"/>
    <n v="4900.03"/>
    <n v="5118.83"/>
    <s v="Returning"/>
    <n v="7.0000000000000007E-2"/>
    <s v="Credit Card"/>
    <s v="Retail"/>
    <s v="West-Alice"/>
    <n v="171501.05"/>
    <n v="179159.05"/>
    <n v="7658"/>
  </r>
  <r>
    <d v="2023-11-28T00:00:00"/>
    <s v="David"/>
    <s v="West"/>
    <n v="8719.6200000000008"/>
    <n v="8"/>
    <x v="0"/>
    <n v="4349.34"/>
    <n v="4629.9799999999996"/>
    <s v="Returning"/>
    <n v="0.01"/>
    <s v="Credit Card"/>
    <s v="Online"/>
    <s v="West-David"/>
    <n v="34794.720000000001"/>
    <n v="37039.839999999997"/>
    <n v="2245.1199999999953"/>
  </r>
  <r>
    <d v="2023-11-01T00:00:00"/>
    <s v="Bob"/>
    <s v="East"/>
    <n v="7946.69"/>
    <n v="24"/>
    <x v="1"/>
    <n v="911.11"/>
    <n v="1214.56"/>
    <s v="New"/>
    <n v="0.22"/>
    <s v="Bank Transfer"/>
    <s v="Online"/>
    <s v="East-Bob"/>
    <n v="21866.639999999999"/>
    <n v="29149.439999999999"/>
    <n v="7282.7999999999993"/>
  </r>
  <r>
    <d v="2023-12-16T00:00:00"/>
    <s v="Bob"/>
    <s v="North"/>
    <n v="6310.56"/>
    <n v="19"/>
    <x v="0"/>
    <n v="278.67"/>
    <n v="423.13"/>
    <s v="New"/>
    <n v="0.24"/>
    <s v="Credit Card"/>
    <s v="Online"/>
    <s v="North-Bob"/>
    <n v="5294.7300000000005"/>
    <n v="8039.47"/>
    <n v="2744.74"/>
  </r>
  <r>
    <d v="2023-08-01T00:00:00"/>
    <s v="Eve"/>
    <s v="West"/>
    <n v="7527.63"/>
    <n v="36"/>
    <x v="2"/>
    <n v="2919"/>
    <n v="3125.01"/>
    <s v="New"/>
    <n v="0.24"/>
    <s v="Cash"/>
    <s v="Online"/>
    <s v="West-Eve"/>
    <n v="105084"/>
    <n v="112500.36000000002"/>
    <n v="7416.3600000000151"/>
  </r>
  <r>
    <d v="2023-06-08T00:00:00"/>
    <s v="Charlie"/>
    <s v="East"/>
    <n v="1605.28"/>
    <n v="43"/>
    <x v="0"/>
    <n v="4567.3900000000003"/>
    <n v="4958.78"/>
    <s v="New"/>
    <n v="0.04"/>
    <s v="Cash"/>
    <s v="Retail"/>
    <s v="East-Charlie"/>
    <n v="196397.77000000002"/>
    <n v="213227.53999999998"/>
    <n v="16829.76999999996"/>
  </r>
  <r>
    <d v="2023-01-24T00:00:00"/>
    <s v="Eve"/>
    <s v="North"/>
    <n v="4637.3999999999996"/>
    <n v="27"/>
    <x v="3"/>
    <n v="927.89"/>
    <n v="1399.09"/>
    <s v="Returning"/>
    <n v="0.27"/>
    <s v="Credit Card"/>
    <s v="Online"/>
    <s v="North-Eve"/>
    <n v="25053.03"/>
    <n v="37775.43"/>
    <n v="12722.400000000001"/>
  </r>
  <r>
    <d v="2023-10-20T00:00:00"/>
    <s v="David"/>
    <s v="South"/>
    <n v="3577.07"/>
    <n v="32"/>
    <x v="0"/>
    <n v="84.86"/>
    <n v="517.17999999999995"/>
    <s v="Returning"/>
    <n v="0.2"/>
    <s v="Credit Card"/>
    <s v="Retail"/>
    <s v="South-David"/>
    <n v="2715.52"/>
    <n v="16549.759999999998"/>
    <n v="13834.239999999998"/>
  </r>
  <r>
    <d v="2023-01-04T00:00:00"/>
    <s v="Eve"/>
    <s v="North"/>
    <n v="1028.3900000000001"/>
    <n v="14"/>
    <x v="0"/>
    <n v="4037.21"/>
    <n v="4323.71"/>
    <s v="Returning"/>
    <n v="0.27"/>
    <s v="Credit Card"/>
    <s v="Online"/>
    <s v="North-Eve"/>
    <n v="56520.94"/>
    <n v="60531.94"/>
    <n v="4011"/>
  </r>
  <r>
    <d v="2023-08-08T00:00:00"/>
    <s v="Alice"/>
    <s v="North"/>
    <n v="4912.6899999999996"/>
    <n v="18"/>
    <x v="2"/>
    <n v="430.14"/>
    <n v="641.17999999999995"/>
    <s v="New"/>
    <n v="0.13"/>
    <s v="Cash"/>
    <s v="Online"/>
    <s v="North-Alice"/>
    <n v="7742.5199999999995"/>
    <n v="11541.24"/>
    <n v="3798.7200000000003"/>
  </r>
  <r>
    <d v="2023-12-30T00:00:00"/>
    <s v="David"/>
    <s v="West"/>
    <n v="9215.32"/>
    <n v="28"/>
    <x v="3"/>
    <n v="2097.84"/>
    <n v="2270.9899999999998"/>
    <s v="New"/>
    <n v="0.13"/>
    <s v="Credit Card"/>
    <s v="Retail"/>
    <s v="West-David"/>
    <n v="58739.520000000004"/>
    <n v="63587.719999999994"/>
    <n v="4848.1999999999898"/>
  </r>
  <r>
    <d v="2023-01-20T00:00:00"/>
    <s v="Bob"/>
    <s v="East"/>
    <n v="496.59"/>
    <n v="29"/>
    <x v="2"/>
    <n v="3410.49"/>
    <n v="3481.72"/>
    <s v="New"/>
    <n v="0.24"/>
    <s v="Bank Transfer"/>
    <s v="Retail"/>
    <s v="East-Bob"/>
    <n v="98904.209999999992"/>
    <n v="100969.87999999999"/>
    <n v="2065.6699999999983"/>
  </r>
  <r>
    <d v="2023-06-01T00:00:00"/>
    <s v="Charlie"/>
    <s v="East"/>
    <n v="2985.46"/>
    <n v="16"/>
    <x v="0"/>
    <n v="1222.1500000000001"/>
    <n v="1284.3599999999999"/>
    <s v="Returning"/>
    <n v="0.03"/>
    <s v="Credit Card"/>
    <s v="Retail"/>
    <s v="East-Charlie"/>
    <n v="19554.400000000001"/>
    <n v="20549.759999999998"/>
    <n v="995.35999999999694"/>
  </r>
  <r>
    <d v="2023-02-19T00:00:00"/>
    <s v="David"/>
    <s v="West"/>
    <n v="2154.66"/>
    <n v="35"/>
    <x v="1"/>
    <n v="465.61"/>
    <n v="812.91"/>
    <s v="New"/>
    <n v="0.16"/>
    <s v="Bank Transfer"/>
    <s v="Online"/>
    <s v="West-David"/>
    <n v="16296.35"/>
    <n v="28451.85"/>
    <n v="12155.499999999998"/>
  </r>
  <r>
    <d v="2023-06-26T00:00:00"/>
    <s v="David"/>
    <s v="North"/>
    <n v="2457.65"/>
    <n v="47"/>
    <x v="0"/>
    <n v="3861.61"/>
    <n v="3998.91"/>
    <s v="New"/>
    <n v="0.25"/>
    <s v="Credit Card"/>
    <s v="Online"/>
    <s v="North-David"/>
    <n v="181495.67"/>
    <n v="187948.77"/>
    <n v="6453.0999999999767"/>
  </r>
  <r>
    <d v="2023-04-06T00:00:00"/>
    <s v="Alice"/>
    <s v="South"/>
    <n v="9093.5"/>
    <n v="31"/>
    <x v="2"/>
    <n v="3169.37"/>
    <n v="3304.15"/>
    <s v="Returning"/>
    <n v="0.25"/>
    <s v="Credit Card"/>
    <s v="Retail"/>
    <s v="South-Alice"/>
    <n v="98250.47"/>
    <n v="102428.65000000001"/>
    <n v="4178.1800000000076"/>
  </r>
  <r>
    <d v="2023-04-15T00:00:00"/>
    <s v="Charlie"/>
    <s v="North"/>
    <n v="4733.88"/>
    <n v="4"/>
    <x v="1"/>
    <n v="4943.03"/>
    <n v="5442.15"/>
    <s v="Returning"/>
    <n v="0.28999999999999998"/>
    <s v="Cash"/>
    <s v="Online"/>
    <s v="North-Charlie"/>
    <n v="19772.12"/>
    <n v="21768.6"/>
    <n v="1996.4799999999996"/>
  </r>
  <r>
    <d v="2023-09-07T00:00:00"/>
    <s v="Bob"/>
    <s v="North"/>
    <n v="4716.3599999999997"/>
    <n v="37"/>
    <x v="2"/>
    <n v="1754.32"/>
    <n v="1856.3999999999901"/>
    <s v="New"/>
    <n v="0.21"/>
    <s v="Bank Transfer"/>
    <s v="Retail"/>
    <s v="North-Bob"/>
    <n v="64909.84"/>
    <n v="68686.799999999639"/>
    <n v="3776.9599999996426"/>
  </r>
  <r>
    <d v="2023-04-27T00:00:00"/>
    <s v="David"/>
    <s v="South"/>
    <n v="7629.7"/>
    <n v="17"/>
    <x v="2"/>
    <n v="355.72"/>
    <n v="438.27"/>
    <s v="Returning"/>
    <n v="0.06"/>
    <s v="Bank Transfer"/>
    <s v="Online"/>
    <s v="South-David"/>
    <n v="6047.2400000000007"/>
    <n v="7450.59"/>
    <n v="1403.3499999999995"/>
  </r>
  <r>
    <d v="2023-12-20T00:00:00"/>
    <s v="David"/>
    <s v="West"/>
    <n v="1629.47"/>
    <n v="39"/>
    <x v="3"/>
    <n v="3685.03"/>
    <n v="3743.39"/>
    <s v="New"/>
    <n v="0.01"/>
    <s v="Bank Transfer"/>
    <s v="Online"/>
    <s v="West-David"/>
    <n v="143716.17000000001"/>
    <n v="145992.21"/>
    <n v="2276.039999999979"/>
  </r>
  <r>
    <d v="2023-08-16T00:00:00"/>
    <s v="Alice"/>
    <s v="East"/>
    <n v="4923.93"/>
    <n v="48"/>
    <x v="1"/>
    <n v="2632.58"/>
    <n v="2926.68"/>
    <s v="Returning"/>
    <n v="0.14000000000000001"/>
    <s v="Cash"/>
    <s v="Online"/>
    <s v="East-Alice"/>
    <n v="126363.84"/>
    <n v="140480.63999999998"/>
    <n v="14116.7999999999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19B82-AC6A-424F-B8E4-A985D55BE0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9" firstHeaderRow="1" firstDataRow="2" firstDataCol="1"/>
  <pivotFields count="18">
    <pivotField showAll="0">
      <items count="101">
        <item x="66"/>
        <item x="15"/>
        <item x="12"/>
        <item x="38"/>
        <item x="68"/>
        <item x="51"/>
        <item x="34"/>
        <item x="45"/>
        <item x="40"/>
        <item x="99"/>
        <item x="67"/>
        <item x="70"/>
        <item x="81"/>
        <item x="39"/>
        <item x="2"/>
        <item x="93"/>
        <item x="90"/>
        <item x="37"/>
        <item x="88"/>
        <item x="94"/>
        <item x="5"/>
        <item x="13"/>
        <item x="71"/>
        <item x="11"/>
        <item x="97"/>
        <item x="61"/>
        <item x="75"/>
        <item x="69"/>
        <item x="63"/>
        <item x="16"/>
        <item x="96"/>
        <item x="82"/>
        <item x="20"/>
        <item x="54"/>
        <item x="46"/>
        <item x="49"/>
        <item x="72"/>
        <item x="17"/>
        <item x="36"/>
        <item x="58"/>
        <item x="62"/>
        <item x="27"/>
        <item x="80"/>
        <item x="44"/>
        <item x="64"/>
        <item x="98"/>
        <item x="31"/>
        <item x="57"/>
        <item x="24"/>
        <item x="50"/>
        <item x="32"/>
        <item x="0"/>
        <item x="14"/>
        <item x="52"/>
        <item x="33"/>
        <item x="87"/>
        <item x="84"/>
        <item x="22"/>
        <item x="26"/>
        <item x="19"/>
        <item x="4"/>
        <item x="30"/>
        <item x="53"/>
        <item x="18"/>
        <item x="65"/>
        <item x="83"/>
        <item x="95"/>
        <item x="89"/>
        <item x="91"/>
        <item x="86"/>
        <item x="43"/>
        <item x="3"/>
        <item x="35"/>
        <item x="55"/>
        <item x="8"/>
        <item x="21"/>
        <item x="77"/>
        <item x="47"/>
        <item x="76"/>
        <item x="29"/>
        <item x="48"/>
        <item x="60"/>
        <item x="6"/>
        <item x="42"/>
        <item x="59"/>
        <item x="74"/>
        <item x="7"/>
        <item x="9"/>
        <item x="23"/>
        <item x="41"/>
        <item x="25"/>
        <item x="28"/>
        <item x="1"/>
        <item x="79"/>
        <item x="56"/>
        <item x="78"/>
        <item x="85"/>
        <item x="92"/>
        <item x="73"/>
        <item x="10"/>
        <item t="default"/>
      </items>
    </pivotField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dataField="1" showAll="0">
      <items count="999">
        <item x="255"/>
        <item x="978"/>
        <item x="67"/>
        <item x="264"/>
        <item x="570"/>
        <item x="669"/>
        <item x="114"/>
        <item x="451"/>
        <item x="665"/>
        <item x="171"/>
        <item x="460"/>
        <item x="45"/>
        <item x="623"/>
        <item x="330"/>
        <item x="170"/>
        <item x="360"/>
        <item x="470"/>
        <item x="771"/>
        <item x="35"/>
        <item x="419"/>
        <item x="440"/>
        <item x="56"/>
        <item x="61"/>
        <item x="615"/>
        <item x="576"/>
        <item x="822"/>
        <item x="38"/>
        <item x="514"/>
        <item x="764"/>
        <item x="72"/>
        <item x="328"/>
        <item x="182"/>
        <item x="855"/>
        <item x="734"/>
        <item x="840"/>
        <item x="736"/>
        <item x="211"/>
        <item x="252"/>
        <item x="210"/>
        <item x="775"/>
        <item x="740"/>
        <item x="988"/>
        <item x="761"/>
        <item x="292"/>
        <item x="129"/>
        <item x="190"/>
        <item x="133"/>
        <item x="339"/>
        <item x="362"/>
        <item x="839"/>
        <item x="6"/>
        <item x="801"/>
        <item x="258"/>
        <item x="517"/>
        <item x="377"/>
        <item x="914"/>
        <item x="585"/>
        <item x="85"/>
        <item x="30"/>
        <item x="112"/>
        <item x="861"/>
        <item x="475"/>
        <item x="891"/>
        <item x="510"/>
        <item x="79"/>
        <item x="673"/>
        <item x="647"/>
        <item x="642"/>
        <item x="863"/>
        <item x="752"/>
        <item x="391"/>
        <item x="371"/>
        <item x="492"/>
        <item x="659"/>
        <item x="237"/>
        <item x="617"/>
        <item x="527"/>
        <item x="870"/>
        <item x="236"/>
        <item x="149"/>
        <item x="649"/>
        <item x="411"/>
        <item x="92"/>
        <item x="637"/>
        <item x="123"/>
        <item x="707"/>
        <item x="410"/>
        <item x="285"/>
        <item x="480"/>
        <item x="910"/>
        <item x="898"/>
        <item x="575"/>
        <item x="842"/>
        <item x="868"/>
        <item x="967"/>
        <item x="730"/>
        <item x="466"/>
        <item x="414"/>
        <item x="453"/>
        <item x="985"/>
        <item x="753"/>
        <item x="180"/>
        <item x="875"/>
        <item x="386"/>
        <item x="207"/>
        <item x="450"/>
        <item x="298"/>
        <item x="551"/>
        <item x="581"/>
        <item x="520"/>
        <item x="430"/>
        <item x="533"/>
        <item x="31"/>
        <item x="395"/>
        <item x="603"/>
        <item x="605"/>
        <item x="568"/>
        <item x="185"/>
        <item x="59"/>
        <item x="39"/>
        <item x="55"/>
        <item x="940"/>
        <item x="253"/>
        <item x="887"/>
        <item x="763"/>
        <item x="347"/>
        <item x="117"/>
        <item x="19"/>
        <item x="903"/>
        <item x="680"/>
        <item x="96"/>
        <item x="952"/>
        <item x="607"/>
        <item x="963"/>
        <item x="906"/>
        <item x="894"/>
        <item x="100"/>
        <item x="877"/>
        <item x="113"/>
        <item x="247"/>
        <item x="982"/>
        <item x="832"/>
        <item x="996"/>
        <item x="431"/>
        <item x="897"/>
        <item x="813"/>
        <item x="695"/>
        <item x="349"/>
        <item x="525"/>
        <item x="563"/>
        <item x="526"/>
        <item x="574"/>
        <item x="160"/>
        <item x="166"/>
        <item x="324"/>
        <item x="569"/>
        <item x="577"/>
        <item x="130"/>
        <item x="288"/>
        <item x="807"/>
        <item x="876"/>
        <item x="821"/>
        <item x="684"/>
        <item x="597"/>
        <item x="971"/>
        <item x="212"/>
        <item x="943"/>
        <item x="565"/>
        <item x="343"/>
        <item x="816"/>
        <item x="393"/>
        <item x="276"/>
        <item x="957"/>
        <item x="633"/>
        <item x="954"/>
        <item x="528"/>
        <item x="232"/>
        <item x="729"/>
        <item x="706"/>
        <item x="447"/>
        <item x="152"/>
        <item x="720"/>
        <item x="205"/>
        <item x="555"/>
        <item x="685"/>
        <item x="928"/>
        <item x="313"/>
        <item x="95"/>
        <item x="941"/>
        <item x="850"/>
        <item x="140"/>
        <item x="383"/>
        <item x="26"/>
        <item x="467"/>
        <item x="487"/>
        <item x="699"/>
        <item x="435"/>
        <item x="641"/>
        <item x="612"/>
        <item x="230"/>
        <item x="403"/>
        <item x="609"/>
        <item x="235"/>
        <item x="990"/>
        <item x="3"/>
        <item x="132"/>
        <item x="892"/>
        <item x="871"/>
        <item x="847"/>
        <item x="794"/>
        <item x="11"/>
        <item x="472"/>
        <item x="702"/>
        <item x="15"/>
        <item x="666"/>
        <item x="974"/>
        <item x="956"/>
        <item x="722"/>
        <item x="588"/>
        <item x="656"/>
        <item x="973"/>
        <item x="209"/>
        <item x="176"/>
        <item x="582"/>
        <item x="267"/>
        <item x="94"/>
        <item x="260"/>
        <item x="80"/>
        <item x="174"/>
        <item x="788"/>
        <item x="872"/>
        <item x="567"/>
        <item x="948"/>
        <item x="263"/>
        <item x="770"/>
        <item x="886"/>
        <item x="587"/>
        <item x="334"/>
        <item x="991"/>
        <item x="204"/>
        <item x="760"/>
        <item x="701"/>
        <item x="579"/>
        <item x="120"/>
        <item x="138"/>
        <item x="464"/>
        <item x="738"/>
        <item x="584"/>
        <item x="81"/>
        <item x="163"/>
        <item x="474"/>
        <item x="471"/>
        <item x="504"/>
        <item x="750"/>
        <item x="976"/>
        <item x="536"/>
        <item x="355"/>
        <item x="421"/>
        <item x="200"/>
        <item x="442"/>
        <item x="622"/>
        <item x="888"/>
        <item x="457"/>
        <item x="146"/>
        <item x="735"/>
        <item x="105"/>
        <item x="524"/>
        <item x="977"/>
        <item x="715"/>
        <item x="402"/>
        <item x="724"/>
        <item x="293"/>
        <item x="60"/>
        <item x="418"/>
        <item x="33"/>
        <item x="405"/>
        <item x="874"/>
        <item x="497"/>
        <item x="719"/>
        <item x="473"/>
        <item x="698"/>
        <item x="426"/>
        <item x="713"/>
        <item x="908"/>
        <item x="311"/>
        <item x="124"/>
        <item x="812"/>
        <item x="388"/>
        <item x="834"/>
        <item x="387"/>
        <item x="882"/>
        <item x="955"/>
        <item x="250"/>
        <item x="214"/>
        <item x="221"/>
        <item x="959"/>
        <item x="373"/>
        <item x="852"/>
        <item x="28"/>
        <item x="406"/>
        <item x="364"/>
        <item x="186"/>
        <item x="534"/>
        <item x="351"/>
        <item x="108"/>
        <item x="989"/>
        <item x="512"/>
        <item x="62"/>
        <item x="18"/>
        <item x="295"/>
        <item x="413"/>
        <item x="885"/>
        <item x="68"/>
        <item x="515"/>
        <item x="900"/>
        <item x="78"/>
        <item x="272"/>
        <item x="262"/>
        <item x="261"/>
        <item x="912"/>
        <item x="365"/>
        <item x="543"/>
        <item x="350"/>
        <item x="535"/>
        <item x="50"/>
        <item x="768"/>
        <item x="425"/>
        <item x="700"/>
        <item x="922"/>
        <item x="22"/>
        <item x="655"/>
        <item x="177"/>
        <item x="742"/>
        <item x="718"/>
        <item x="745"/>
        <item x="273"/>
        <item x="884"/>
        <item x="755"/>
        <item x="546"/>
        <item x="937"/>
        <item x="233"/>
        <item x="243"/>
        <item x="376"/>
        <item x="630"/>
        <item x="368"/>
        <item x="862"/>
        <item x="315"/>
        <item x="606"/>
        <item x="37"/>
        <item x="792"/>
        <item x="895"/>
        <item x="106"/>
        <item x="314"/>
        <item x="400"/>
        <item x="65"/>
        <item x="657"/>
        <item x="984"/>
        <item x="366"/>
        <item x="222"/>
        <item x="540"/>
        <item x="580"/>
        <item x="547"/>
        <item x="838"/>
        <item x="889"/>
        <item x="539"/>
        <item x="172"/>
        <item x="198"/>
        <item x="202"/>
        <item x="765"/>
        <item x="934"/>
        <item x="93"/>
        <item x="966"/>
        <item x="29"/>
        <item x="732"/>
        <item x="498"/>
        <item x="4"/>
        <item x="301"/>
        <item x="660"/>
        <item x="5"/>
        <item x="277"/>
        <item x="493"/>
        <item x="927"/>
        <item x="192"/>
        <item x="66"/>
        <item x="950"/>
        <item x="658"/>
        <item x="805"/>
        <item x="378"/>
        <item x="964"/>
        <item x="650"/>
        <item x="36"/>
        <item x="323"/>
        <item x="709"/>
        <item x="327"/>
        <item x="869"/>
        <item x="638"/>
        <item x="103"/>
        <item x="787"/>
        <item x="644"/>
        <item x="586"/>
        <item x="610"/>
        <item x="193"/>
        <item x="552"/>
        <item x="282"/>
        <item x="24"/>
        <item x="346"/>
        <item x="401"/>
        <item x="187"/>
        <item x="77"/>
        <item x="445"/>
        <item x="831"/>
        <item x="396"/>
        <item x="42"/>
        <item x="370"/>
        <item x="936"/>
        <item x="439"/>
        <item x="240"/>
        <item x="522"/>
        <item x="762"/>
        <item x="599"/>
        <item x="40"/>
        <item x="592"/>
        <item x="8"/>
        <item x="256"/>
        <item x="384"/>
        <item x="915"/>
        <item x="614"/>
        <item x="226"/>
        <item x="271"/>
        <item x="399"/>
        <item x="841"/>
        <item x="703"/>
        <item x="251"/>
        <item x="506"/>
        <item x="181"/>
        <item x="593"/>
        <item x="389"/>
        <item x="733"/>
        <item x="1"/>
        <item x="374"/>
        <item x="128"/>
        <item x="652"/>
        <item x="452"/>
        <item x="456"/>
        <item x="458"/>
        <item x="217"/>
        <item x="147"/>
        <item x="333"/>
        <item x="561"/>
        <item x="881"/>
        <item x="785"/>
        <item x="507"/>
        <item x="513"/>
        <item x="131"/>
        <item x="116"/>
        <item x="443"/>
        <item x="632"/>
        <item x="938"/>
        <item x="502"/>
        <item x="802"/>
        <item x="818"/>
        <item x="2"/>
        <item x="76"/>
        <item x="983"/>
        <item x="916"/>
        <item x="476"/>
        <item x="911"/>
        <item x="126"/>
        <item x="306"/>
        <item x="46"/>
        <item x="661"/>
        <item x="859"/>
        <item x="994"/>
        <item x="636"/>
        <item x="993"/>
        <item x="873"/>
        <item x="109"/>
        <item x="13"/>
        <item x="84"/>
        <item x="696"/>
        <item x="618"/>
        <item x="228"/>
        <item x="161"/>
        <item x="183"/>
        <item x="404"/>
        <item x="932"/>
        <item x="668"/>
        <item x="82"/>
        <item x="899"/>
        <item x="629"/>
        <item x="986"/>
        <item x="997"/>
        <item x="909"/>
        <item x="830"/>
        <item x="929"/>
        <item x="946"/>
        <item x="518"/>
        <item x="931"/>
        <item x="41"/>
        <item x="322"/>
        <item x="229"/>
        <item x="169"/>
        <item x="598"/>
        <item x="808"/>
        <item x="0"/>
        <item x="121"/>
        <item x="516"/>
        <item x="554"/>
        <item x="340"/>
        <item x="905"/>
        <item x="548"/>
        <item x="208"/>
        <item x="239"/>
        <item x="705"/>
        <item x="613"/>
        <item x="300"/>
        <item x="299"/>
        <item x="573"/>
        <item x="537"/>
        <item x="32"/>
        <item x="219"/>
        <item x="64"/>
        <item x="679"/>
        <item x="392"/>
        <item x="48"/>
        <item x="583"/>
        <item x="53"/>
        <item x="491"/>
        <item x="157"/>
        <item x="257"/>
        <item x="793"/>
        <item x="119"/>
        <item x="43"/>
        <item x="602"/>
        <item x="538"/>
        <item x="625"/>
        <item x="829"/>
        <item x="923"/>
        <item x="496"/>
        <item x="249"/>
        <item x="594"/>
        <item x="645"/>
        <item x="486"/>
        <item x="90"/>
        <item x="286"/>
        <item x="337"/>
        <item x="127"/>
        <item x="672"/>
        <item x="363"/>
        <item x="949"/>
        <item x="345"/>
        <item x="553"/>
        <item x="968"/>
        <item x="591"/>
        <item x="739"/>
        <item x="654"/>
        <item x="619"/>
        <item x="320"/>
        <item x="778"/>
        <item x="901"/>
        <item x="201"/>
        <item x="167"/>
        <item x="767"/>
        <item x="944"/>
        <item x="145"/>
        <item x="953"/>
        <item x="962"/>
        <item x="357"/>
        <item x="833"/>
        <item x="918"/>
        <item x="751"/>
        <item x="197"/>
        <item x="99"/>
        <item x="693"/>
        <item x="945"/>
        <item x="218"/>
        <item x="904"/>
        <item x="782"/>
        <item x="216"/>
        <item x="441"/>
        <item x="836"/>
        <item x="675"/>
        <item x="290"/>
        <item x="495"/>
        <item x="781"/>
        <item x="436"/>
        <item x="461"/>
        <item x="283"/>
        <item x="231"/>
        <item x="837"/>
        <item x="800"/>
        <item x="148"/>
        <item x="44"/>
        <item x="723"/>
        <item x="789"/>
        <item x="690"/>
        <item x="427"/>
        <item x="415"/>
        <item x="815"/>
        <item x="294"/>
        <item x="409"/>
        <item x="604"/>
        <item x="478"/>
        <item x="843"/>
        <item x="17"/>
        <item x="824"/>
        <item x="424"/>
        <item x="562"/>
        <item x="462"/>
        <item x="590"/>
        <item x="488"/>
        <item x="777"/>
        <item x="682"/>
        <item x="367"/>
        <item x="150"/>
        <item x="97"/>
        <item x="857"/>
        <item x="416"/>
        <item x="773"/>
        <item x="907"/>
        <item x="779"/>
        <item x="356"/>
        <item x="980"/>
        <item x="620"/>
        <item x="503"/>
        <item x="115"/>
        <item x="601"/>
        <item x="382"/>
        <item x="694"/>
        <item x="175"/>
        <item x="814"/>
        <item x="102"/>
        <item x="717"/>
        <item x="463"/>
        <item x="164"/>
        <item x="380"/>
        <item x="947"/>
        <item x="23"/>
        <item x="69"/>
        <item x="648"/>
        <item x="417"/>
        <item x="811"/>
        <item x="508"/>
        <item x="797"/>
        <item x="20"/>
        <item x="691"/>
        <item x="769"/>
        <item x="246"/>
        <item x="523"/>
        <item x="203"/>
        <item x="663"/>
        <item x="407"/>
        <item x="12"/>
        <item x="846"/>
        <item x="711"/>
        <item x="284"/>
        <item x="951"/>
        <item x="667"/>
        <item x="725"/>
        <item x="184"/>
        <item x="268"/>
        <item x="529"/>
        <item x="500"/>
        <item x="165"/>
        <item x="741"/>
        <item x="919"/>
        <item x="819"/>
        <item x="681"/>
        <item x="381"/>
        <item x="448"/>
        <item x="353"/>
        <item x="972"/>
        <item x="479"/>
        <item x="564"/>
        <item x="890"/>
        <item x="361"/>
        <item x="104"/>
        <item x="803"/>
        <item x="422"/>
        <item x="557"/>
        <item x="804"/>
        <item x="49"/>
        <item x="16"/>
        <item x="122"/>
        <item x="438"/>
        <item x="532"/>
        <item x="375"/>
        <item x="621"/>
        <item x="809"/>
        <item x="608"/>
        <item x="714"/>
        <item x="244"/>
        <item x="566"/>
        <item x="308"/>
        <item x="721"/>
        <item x="708"/>
        <item x="595"/>
        <item x="810"/>
        <item x="304"/>
        <item x="731"/>
        <item x="825"/>
        <item x="437"/>
        <item x="318"/>
        <item x="596"/>
        <item x="331"/>
        <item x="398"/>
        <item x="335"/>
        <item x="817"/>
        <item x="505"/>
        <item x="423"/>
        <item x="786"/>
        <item x="111"/>
        <item x="664"/>
        <item x="287"/>
        <item x="143"/>
        <item x="274"/>
        <item x="25"/>
        <item x="465"/>
        <item x="305"/>
        <item x="296"/>
        <item x="799"/>
        <item x="697"/>
        <item x="162"/>
        <item x="341"/>
        <item x="571"/>
        <item x="662"/>
        <item x="624"/>
        <item x="459"/>
        <item x="917"/>
        <item x="319"/>
        <item x="179"/>
        <item x="309"/>
        <item x="265"/>
        <item x="572"/>
        <item x="369"/>
        <item x="477"/>
        <item x="326"/>
        <item x="433"/>
        <item x="851"/>
        <item x="397"/>
        <item x="490"/>
        <item x="21"/>
        <item x="469"/>
        <item x="930"/>
        <item x="269"/>
        <item x="683"/>
        <item x="489"/>
        <item x="83"/>
        <item x="756"/>
        <item x="560"/>
        <item x="454"/>
        <item x="687"/>
        <item x="981"/>
        <item x="385"/>
        <item x="677"/>
        <item x="281"/>
        <item x="194"/>
        <item x="784"/>
        <item x="159"/>
        <item x="689"/>
        <item x="220"/>
        <item x="297"/>
        <item x="879"/>
        <item x="995"/>
        <item x="728"/>
        <item x="191"/>
        <item x="774"/>
        <item x="939"/>
        <item x="772"/>
        <item x="521"/>
        <item x="254"/>
        <item x="674"/>
        <item x="7"/>
        <item x="57"/>
        <item x="245"/>
        <item x="168"/>
        <item x="671"/>
        <item x="52"/>
        <item x="63"/>
        <item x="51"/>
        <item x="920"/>
        <item x="727"/>
        <item x="823"/>
        <item x="227"/>
        <item x="75"/>
        <item x="289"/>
        <item x="98"/>
        <item x="676"/>
        <item x="74"/>
        <item x="766"/>
        <item x="372"/>
        <item x="88"/>
        <item x="325"/>
        <item x="501"/>
        <item x="199"/>
        <item x="542"/>
        <item x="631"/>
        <item x="153"/>
        <item x="616"/>
        <item x="136"/>
        <item x="970"/>
        <item x="712"/>
        <item x="354"/>
        <item x="965"/>
        <item x="883"/>
        <item x="344"/>
        <item x="853"/>
        <item x="827"/>
        <item x="678"/>
        <item x="639"/>
        <item x="902"/>
        <item x="651"/>
        <item x="798"/>
        <item x="670"/>
        <item x="483"/>
        <item x="757"/>
        <item x="279"/>
        <item x="125"/>
        <item x="312"/>
        <item x="58"/>
        <item x="893"/>
        <item x="241"/>
        <item x="101"/>
        <item x="531"/>
        <item x="726"/>
        <item x="275"/>
        <item x="865"/>
        <item x="336"/>
        <item x="627"/>
        <item x="710"/>
        <item x="9"/>
        <item x="913"/>
        <item x="484"/>
        <item x="511"/>
        <item x="748"/>
        <item x="958"/>
        <item x="303"/>
        <item x="541"/>
        <item x="358"/>
        <item x="34"/>
        <item x="242"/>
        <item x="626"/>
        <item x="776"/>
        <item x="820"/>
        <item x="558"/>
        <item x="826"/>
        <item x="933"/>
        <item x="482"/>
        <item x="329"/>
        <item x="446"/>
        <item x="924"/>
        <item x="628"/>
        <item x="134"/>
        <item x="749"/>
        <item x="969"/>
        <item x="71"/>
        <item x="860"/>
        <item x="178"/>
        <item x="270"/>
        <item x="10"/>
        <item x="866"/>
        <item x="137"/>
        <item x="634"/>
        <item x="234"/>
        <item x="317"/>
        <item x="758"/>
        <item x="559"/>
        <item x="556"/>
        <item x="935"/>
        <item x="310"/>
        <item x="921"/>
        <item x="342"/>
        <item x="848"/>
        <item x="780"/>
        <item x="896"/>
        <item x="348"/>
        <item x="428"/>
        <item x="213"/>
        <item x="600"/>
        <item x="979"/>
        <item x="352"/>
        <item x="975"/>
        <item x="248"/>
        <item x="550"/>
        <item x="643"/>
        <item x="468"/>
        <item x="737"/>
        <item x="14"/>
        <item x="844"/>
        <item x="530"/>
        <item x="635"/>
        <item x="845"/>
        <item x="434"/>
        <item x="849"/>
        <item x="744"/>
        <item x="692"/>
        <item x="926"/>
        <item x="110"/>
        <item x="27"/>
        <item x="686"/>
        <item x="578"/>
        <item x="225"/>
        <item x="223"/>
        <item x="499"/>
        <item x="611"/>
        <item x="856"/>
        <item x="743"/>
        <item x="73"/>
        <item x="746"/>
        <item x="640"/>
        <item x="278"/>
        <item x="359"/>
        <item x="704"/>
        <item x="154"/>
        <item x="688"/>
        <item x="992"/>
        <item x="544"/>
        <item x="455"/>
        <item x="107"/>
        <item x="206"/>
        <item x="195"/>
        <item x="188"/>
        <item x="987"/>
        <item x="494"/>
        <item x="307"/>
        <item x="835"/>
        <item x="173"/>
        <item x="519"/>
        <item x="960"/>
        <item x="790"/>
        <item x="791"/>
        <item x="485"/>
        <item x="302"/>
        <item x="509"/>
        <item x="867"/>
        <item x="716"/>
        <item x="238"/>
        <item x="549"/>
        <item x="806"/>
        <item x="87"/>
        <item x="155"/>
        <item x="379"/>
        <item x="432"/>
        <item x="224"/>
        <item x="429"/>
        <item x="321"/>
        <item x="215"/>
        <item x="196"/>
        <item x="412"/>
        <item x="141"/>
        <item x="942"/>
        <item x="481"/>
        <item x="291"/>
        <item x="545"/>
        <item x="444"/>
        <item x="86"/>
        <item x="118"/>
        <item x="589"/>
        <item x="156"/>
        <item x="139"/>
        <item x="828"/>
        <item x="91"/>
        <item x="47"/>
        <item x="420"/>
        <item x="266"/>
        <item x="338"/>
        <item x="880"/>
        <item x="646"/>
        <item x="408"/>
        <item x="961"/>
        <item x="332"/>
        <item x="394"/>
        <item x="878"/>
        <item x="259"/>
        <item x="858"/>
        <item x="70"/>
        <item x="864"/>
        <item x="54"/>
        <item x="449"/>
        <item x="158"/>
        <item x="316"/>
        <item x="390"/>
        <item x="796"/>
        <item x="144"/>
        <item x="151"/>
        <item x="135"/>
        <item x="280"/>
        <item x="925"/>
        <item x="783"/>
        <item x="89"/>
        <item x="189"/>
        <item x="142"/>
        <item x="795"/>
        <item x="747"/>
        <item x="653"/>
        <item x="854"/>
        <item x="759"/>
        <item x="754"/>
        <item t="default"/>
      </items>
    </pivotField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1">
        <item x="18"/>
        <item x="12"/>
        <item x="4"/>
        <item x="16"/>
        <item x="14"/>
        <item x="15"/>
        <item x="0"/>
        <item x="19"/>
        <item x="11"/>
        <item x="7"/>
        <item x="9"/>
        <item x="3"/>
        <item x="10"/>
        <item x="2"/>
        <item x="6"/>
        <item x="17"/>
        <item x="1"/>
        <item x="5"/>
        <item x="13"/>
        <item x="8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Amount" fld="4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0A993-7DAD-4EE8-805F-21C07D2CF82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G10" firstHeaderRow="1" firstDataRow="3" firstDataCol="1"/>
  <pivotFields count="18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/>
    <pivotField dataField="1"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2">
    <field x="16"/>
    <field x="15"/>
  </colFields>
  <colItems count="6">
    <i>
      <x v="1"/>
      <x v="1"/>
    </i>
    <i r="1">
      <x v="2"/>
    </i>
    <i r="1">
      <x v="3"/>
    </i>
    <i r="1">
      <x v="4"/>
    </i>
    <i>
      <x v="2"/>
      <x v="1"/>
    </i>
    <i t="grand">
      <x/>
    </i>
  </colItems>
  <dataFields count="1">
    <dataField name="Sum of Sales_Amount" fld="4" showDataAs="percentDiff" baseField="15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31CC3-24B5-4789-BAF0-E68906F6EFB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3" firstDataCol="1"/>
  <pivotFields count="18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/>
    <pivotField dataField="1"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2">
    <field x="16"/>
    <field x="15"/>
  </colFields>
  <colItems count="6">
    <i>
      <x v="1"/>
      <x v="1"/>
    </i>
    <i r="1">
      <x v="2"/>
    </i>
    <i r="1">
      <x v="3"/>
    </i>
    <i r="1">
      <x v="4"/>
    </i>
    <i>
      <x v="2"/>
      <x v="1"/>
    </i>
    <i t="grand">
      <x/>
    </i>
  </colItems>
  <dataFields count="1">
    <dataField name="Average of Sales_Amount" fld="4" subtotal="average" baseField="6" baseItem="0"/>
  </dataFields>
  <formats count="5">
    <format dxfId="10">
      <pivotArea type="all" dataOnly="0" outline="0" fieldPosition="0"/>
    </format>
    <format dxfId="9">
      <pivotArea collapsedLevelsAreSubtotals="1" fieldPosition="0">
        <references count="2">
          <reference field="15" count="4">
            <x v="1"/>
            <x v="2"/>
            <x v="3"/>
            <x v="4"/>
          </reference>
          <reference field="16" count="1" selected="0">
            <x v="1"/>
          </reference>
        </references>
      </pivotArea>
    </format>
    <format dxfId="8">
      <pivotArea collapsedLevelsAreSubtotals="1" fieldPosition="0">
        <references count="1">
          <reference field="16" count="1">
            <x v="2"/>
          </reference>
        </references>
      </pivotArea>
    </format>
    <format dxfId="7">
      <pivotArea collapsedLevelsAreSubtotals="1" fieldPosition="0">
        <references count="2">
          <reference field="15" count="1">
            <x v="1"/>
          </reference>
          <reference field="16" count="1" selected="0">
            <x v="2"/>
          </reference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541A3-19A4-4895-8435-E4BF2811E0F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8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/>
    <pivotField dataField="1" showAll="0"/>
    <pivotField dataField="1"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_Sold" fld="5" baseField="0" baseItem="0"/>
    <dataField name="Sum of Sales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02DB0-5F36-4AF0-91C6-307045CFA5BE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8">
    <pivotField showAll="0"/>
    <pivotField numFmtId="14" showAll="0"/>
    <pivotField showAll="0"/>
    <pivotField showAll="0"/>
    <pivotField showAll="0"/>
    <pivotField dataField="1"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5">
    <i>
      <x/>
    </i>
    <i>
      <x v="3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_Sold" fld="5" baseField="0" baseItem="0"/>
    <dataField name="Sum of Gross Profit Margin" fld="17" baseField="6" baseItem="0" numFmtId="168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B37E0-D1BB-4706-B021-449F1B209E98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6">
    <pivotField numFmtId="14"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Total Sales Price" fld="14" showDataAs="percentOfCol" baseField="0" baseItem="0" numFmtId="1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0482E-BC53-423F-BE49-17A2D054D275}" name="Table1" displayName="Table1" ref="A1:E459" totalsRowShown="0">
  <autoFilter ref="A1:E459" xr:uid="{0B40482E-BC53-423F-BE49-17A2D054D275}"/>
  <tableColumns count="5">
    <tableColumn id="1" xr3:uid="{9CC10663-B9A0-4474-B6D2-161E27A5D73C}" name="Sale_Date" dataDxfId="13"/>
    <tableColumn id="2" xr3:uid="{F61DD48D-2501-45AF-ACB7-E9F7914BD939}" name="Product_ID"/>
    <tableColumn id="3" xr3:uid="{A66AA71B-0FFD-4041-BFFB-D716F872F01D}" name="Forecast(Product_ID)">
      <calculatedColumnFormula>_xlfn.FORECAST.ETS(A2,$B$2:$B$367,$A$2:$A$367,1,1)</calculatedColumnFormula>
    </tableColumn>
    <tableColumn id="4" xr3:uid="{94AB2BB2-5026-453A-B8C4-A73E9E23A55E}" name="Lower Confidence Bound(Product_ID)" dataDxfId="12">
      <calculatedColumnFormula>C2-_xlfn.FORECAST.ETS.CONFINT(A2,$B$2:$B$367,$A$2:$A$367,0.95,1,1)</calculatedColumnFormula>
    </tableColumn>
    <tableColumn id="5" xr3:uid="{5C04A7D7-2B8B-47D2-924D-7CA977A92749}" name="Upper Confidence Bound(Product_ID)" dataDxfId="11">
      <calculatedColumnFormula>C2+_xlfn.FORECAST.ETS.CONFINT(A2,$B$2:$B$367,$A$2:$A$367,0.95,1,1)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FCBA-66F5-4E67-8106-17092507B273}">
  <dimension ref="A3:F9"/>
  <sheetViews>
    <sheetView workbookViewId="0">
      <selection activeCell="A3" sqref="A3:F9"/>
    </sheetView>
  </sheetViews>
  <sheetFormatPr defaultRowHeight="14.4" x14ac:dyDescent="0.3"/>
  <cols>
    <col min="1" max="1" width="19.77734375" bestFit="1" customWidth="1"/>
    <col min="2" max="2" width="15.5546875" bestFit="1" customWidth="1"/>
    <col min="3" max="6" width="11" bestFit="1" customWidth="1"/>
    <col min="7" max="15" width="9" bestFit="1" customWidth="1"/>
    <col min="16" max="16" width="8" bestFit="1" customWidth="1"/>
    <col min="17" max="31" width="9" bestFit="1" customWidth="1"/>
    <col min="32" max="32" width="8" bestFit="1" customWidth="1"/>
    <col min="33" max="44" width="9" bestFit="1" customWidth="1"/>
    <col min="45" max="45" width="8" bestFit="1" customWidth="1"/>
    <col min="46" max="47" width="9" bestFit="1" customWidth="1"/>
    <col min="48" max="48" width="8" bestFit="1" customWidth="1"/>
    <col min="49" max="56" width="9" bestFit="1" customWidth="1"/>
    <col min="57" max="57" width="6" bestFit="1" customWidth="1"/>
    <col min="58" max="59" width="9" bestFit="1" customWidth="1"/>
    <col min="60" max="60" width="8" bestFit="1" customWidth="1"/>
    <col min="61" max="67" width="9" bestFit="1" customWidth="1"/>
    <col min="68" max="68" width="6" bestFit="1" customWidth="1"/>
    <col min="69" max="71" width="9" bestFit="1" customWidth="1"/>
    <col min="72" max="72" width="8" bestFit="1" customWidth="1"/>
    <col min="73" max="83" width="9" bestFit="1" customWidth="1"/>
    <col min="84" max="84" width="8" bestFit="1" customWidth="1"/>
    <col min="85" max="99" width="9" bestFit="1" customWidth="1"/>
    <col min="100" max="100" width="10" bestFit="1" customWidth="1"/>
    <col min="101" max="101" width="9" bestFit="1" customWidth="1"/>
    <col min="102" max="102" width="11" bestFit="1" customWidth="1"/>
    <col min="103" max="114" width="8" bestFit="1" customWidth="1"/>
    <col min="115" max="115" width="7" bestFit="1" customWidth="1"/>
    <col min="116" max="125" width="8" bestFit="1" customWidth="1"/>
    <col min="126" max="126" width="7" bestFit="1" customWidth="1"/>
    <col min="127" max="139" width="8" bestFit="1" customWidth="1"/>
    <col min="140" max="140" width="7" bestFit="1" customWidth="1"/>
    <col min="141" max="144" width="8" bestFit="1" customWidth="1"/>
    <col min="145" max="145" width="7" bestFit="1" customWidth="1"/>
    <col min="146" max="148" width="8" bestFit="1" customWidth="1"/>
    <col min="149" max="149" width="5" bestFit="1" customWidth="1"/>
    <col min="150" max="166" width="8" bestFit="1" customWidth="1"/>
    <col min="167" max="167" width="7" bestFit="1" customWidth="1"/>
    <col min="168" max="176" width="8" bestFit="1" customWidth="1"/>
    <col min="177" max="177" width="7" bestFit="1" customWidth="1"/>
    <col min="178" max="201" width="8" bestFit="1" customWidth="1"/>
    <col min="202" max="203" width="7" bestFit="1" customWidth="1"/>
    <col min="204" max="209" width="8" bestFit="1" customWidth="1"/>
    <col min="210" max="211" width="7" bestFit="1" customWidth="1"/>
    <col min="212" max="220" width="8" bestFit="1" customWidth="1"/>
    <col min="221" max="221" width="7" bestFit="1" customWidth="1"/>
    <col min="222" max="229" width="8" bestFit="1" customWidth="1"/>
    <col min="230" max="230" width="7" bestFit="1" customWidth="1"/>
    <col min="231" max="253" width="8" bestFit="1" customWidth="1"/>
    <col min="254" max="254" width="5" bestFit="1" customWidth="1"/>
    <col min="255" max="261" width="8" bestFit="1" customWidth="1"/>
    <col min="262" max="262" width="7" bestFit="1" customWidth="1"/>
    <col min="263" max="296" width="8" bestFit="1" customWidth="1"/>
    <col min="297" max="297" width="7" bestFit="1" customWidth="1"/>
    <col min="298" max="312" width="8" bestFit="1" customWidth="1"/>
    <col min="313" max="313" width="7" bestFit="1" customWidth="1"/>
    <col min="314" max="323" width="8" bestFit="1" customWidth="1"/>
    <col min="324" max="324" width="7" bestFit="1" customWidth="1"/>
    <col min="325" max="326" width="8" bestFit="1" customWidth="1"/>
    <col min="327" max="327" width="7" bestFit="1" customWidth="1"/>
    <col min="328" max="352" width="8" bestFit="1" customWidth="1"/>
    <col min="353" max="353" width="7" bestFit="1" customWidth="1"/>
    <col min="354" max="359" width="8" bestFit="1" customWidth="1"/>
    <col min="360" max="360" width="7" bestFit="1" customWidth="1"/>
    <col min="361" max="367" width="8" bestFit="1" customWidth="1"/>
    <col min="368" max="368" width="7" bestFit="1" customWidth="1"/>
    <col min="369" max="370" width="8" bestFit="1" customWidth="1"/>
    <col min="371" max="371" width="7" bestFit="1" customWidth="1"/>
    <col min="372" max="376" width="8" bestFit="1" customWidth="1"/>
    <col min="377" max="377" width="7" bestFit="1" customWidth="1"/>
    <col min="378" max="405" width="8" bestFit="1" customWidth="1"/>
    <col min="406" max="406" width="7" bestFit="1" customWidth="1"/>
    <col min="407" max="416" width="8" bestFit="1" customWidth="1"/>
    <col min="417" max="417" width="7" bestFit="1" customWidth="1"/>
    <col min="418" max="419" width="8" bestFit="1" customWidth="1"/>
    <col min="420" max="420" width="7" bestFit="1" customWidth="1"/>
    <col min="421" max="424" width="8" bestFit="1" customWidth="1"/>
    <col min="425" max="425" width="5" bestFit="1" customWidth="1"/>
    <col min="426" max="452" width="8" bestFit="1" customWidth="1"/>
    <col min="453" max="454" width="7" bestFit="1" customWidth="1"/>
    <col min="455" max="458" width="8" bestFit="1" customWidth="1"/>
    <col min="459" max="459" width="7" bestFit="1" customWidth="1"/>
    <col min="460" max="461" width="8" bestFit="1" customWidth="1"/>
    <col min="462" max="462" width="7" bestFit="1" customWidth="1"/>
    <col min="463" max="464" width="8" bestFit="1" customWidth="1"/>
    <col min="465" max="465" width="7" bestFit="1" customWidth="1"/>
    <col min="466" max="536" width="8" bestFit="1" customWidth="1"/>
    <col min="537" max="537" width="5" bestFit="1" customWidth="1"/>
    <col min="538" max="549" width="8" bestFit="1" customWidth="1"/>
    <col min="550" max="550" width="7" bestFit="1" customWidth="1"/>
    <col min="551" max="551" width="8" bestFit="1" customWidth="1"/>
    <col min="552" max="552" width="7" bestFit="1" customWidth="1"/>
    <col min="553" max="554" width="8" bestFit="1" customWidth="1"/>
    <col min="555" max="555" width="7" bestFit="1" customWidth="1"/>
    <col min="556" max="564" width="8" bestFit="1" customWidth="1"/>
    <col min="565" max="565" width="7" bestFit="1" customWidth="1"/>
    <col min="566" max="586" width="8" bestFit="1" customWidth="1"/>
    <col min="587" max="587" width="7" bestFit="1" customWidth="1"/>
    <col min="588" max="593" width="8" bestFit="1" customWidth="1"/>
    <col min="594" max="595" width="7" bestFit="1" customWidth="1"/>
    <col min="596" max="606" width="8" bestFit="1" customWidth="1"/>
    <col min="607" max="607" width="5" bestFit="1" customWidth="1"/>
    <col min="608" max="614" width="8" bestFit="1" customWidth="1"/>
    <col min="615" max="617" width="7" bestFit="1" customWidth="1"/>
    <col min="618" max="630" width="8" bestFit="1" customWidth="1"/>
    <col min="631" max="631" width="7" bestFit="1" customWidth="1"/>
    <col min="632" max="641" width="8" bestFit="1" customWidth="1"/>
    <col min="642" max="642" width="7" bestFit="1" customWidth="1"/>
    <col min="643" max="653" width="8" bestFit="1" customWidth="1"/>
    <col min="654" max="654" width="7" bestFit="1" customWidth="1"/>
    <col min="655" max="660" width="8" bestFit="1" customWidth="1"/>
    <col min="661" max="661" width="7" bestFit="1" customWidth="1"/>
    <col min="662" max="666" width="8" bestFit="1" customWidth="1"/>
    <col min="667" max="667" width="7" bestFit="1" customWidth="1"/>
    <col min="668" max="676" width="8" bestFit="1" customWidth="1"/>
    <col min="677" max="677" width="7" bestFit="1" customWidth="1"/>
    <col min="678" max="693" width="8" bestFit="1" customWidth="1"/>
    <col min="694" max="694" width="7" bestFit="1" customWidth="1"/>
    <col min="695" max="720" width="8" bestFit="1" customWidth="1"/>
    <col min="721" max="721" width="7" bestFit="1" customWidth="1"/>
    <col min="722" max="726" width="8" bestFit="1" customWidth="1"/>
    <col min="727" max="727" width="7" bestFit="1" customWidth="1"/>
    <col min="728" max="738" width="8" bestFit="1" customWidth="1"/>
    <col min="739" max="739" width="7" bestFit="1" customWidth="1"/>
    <col min="740" max="748" width="8" bestFit="1" customWidth="1"/>
    <col min="749" max="749" width="7" bestFit="1" customWidth="1"/>
    <col min="750" max="754" width="8" bestFit="1" customWidth="1"/>
    <col min="755" max="756" width="7" bestFit="1" customWidth="1"/>
    <col min="757" max="763" width="8" bestFit="1" customWidth="1"/>
    <col min="764" max="764" width="5" bestFit="1" customWidth="1"/>
    <col min="765" max="765" width="7" bestFit="1" customWidth="1"/>
    <col min="766" max="767" width="8" bestFit="1" customWidth="1"/>
    <col min="768" max="768" width="7" bestFit="1" customWidth="1"/>
    <col min="769" max="769" width="8" bestFit="1" customWidth="1"/>
    <col min="770" max="770" width="7" bestFit="1" customWidth="1"/>
    <col min="771" max="772" width="8" bestFit="1" customWidth="1"/>
    <col min="773" max="773" width="7" bestFit="1" customWidth="1"/>
    <col min="774" max="779" width="8" bestFit="1" customWidth="1"/>
    <col min="780" max="780" width="7" bestFit="1" customWidth="1"/>
    <col min="781" max="788" width="8" bestFit="1" customWidth="1"/>
    <col min="789" max="789" width="7" bestFit="1" customWidth="1"/>
    <col min="790" max="796" width="8" bestFit="1" customWidth="1"/>
    <col min="797" max="797" width="5" bestFit="1" customWidth="1"/>
    <col min="798" max="805" width="8" bestFit="1" customWidth="1"/>
    <col min="806" max="806" width="7" bestFit="1" customWidth="1"/>
    <col min="807" max="813" width="8" bestFit="1" customWidth="1"/>
    <col min="814" max="815" width="7" bestFit="1" customWidth="1"/>
    <col min="816" max="819" width="8" bestFit="1" customWidth="1"/>
    <col min="820" max="820" width="5" bestFit="1" customWidth="1"/>
    <col min="821" max="822" width="8" bestFit="1" customWidth="1"/>
    <col min="823" max="823" width="7" bestFit="1" customWidth="1"/>
    <col min="824" max="825" width="8" bestFit="1" customWidth="1"/>
    <col min="826" max="826" width="7" bestFit="1" customWidth="1"/>
    <col min="827" max="838" width="8" bestFit="1" customWidth="1"/>
    <col min="839" max="839" width="7" bestFit="1" customWidth="1"/>
    <col min="840" max="855" width="8" bestFit="1" customWidth="1"/>
    <col min="856" max="857" width="7" bestFit="1" customWidth="1"/>
    <col min="858" max="864" width="8" bestFit="1" customWidth="1"/>
    <col min="865" max="865" width="7" bestFit="1" customWidth="1"/>
    <col min="866" max="881" width="8" bestFit="1" customWidth="1"/>
    <col min="882" max="882" width="5" bestFit="1" customWidth="1"/>
    <col min="883" max="898" width="8" bestFit="1" customWidth="1"/>
    <col min="899" max="899" width="7" bestFit="1" customWidth="1"/>
    <col min="900" max="907" width="8" bestFit="1" customWidth="1"/>
    <col min="908" max="908" width="7" bestFit="1" customWidth="1"/>
    <col min="909" max="913" width="8" bestFit="1" customWidth="1"/>
    <col min="914" max="915" width="7" bestFit="1" customWidth="1"/>
    <col min="916" max="916" width="8" bestFit="1" customWidth="1"/>
    <col min="917" max="917" width="7" bestFit="1" customWidth="1"/>
    <col min="918" max="928" width="8" bestFit="1" customWidth="1"/>
    <col min="929" max="929" width="7" bestFit="1" customWidth="1"/>
    <col min="930" max="930" width="8" bestFit="1" customWidth="1"/>
    <col min="931" max="931" width="5" bestFit="1" customWidth="1"/>
    <col min="932" max="938" width="8" bestFit="1" customWidth="1"/>
    <col min="939" max="939" width="7" bestFit="1" customWidth="1"/>
    <col min="940" max="946" width="8" bestFit="1" customWidth="1"/>
    <col min="947" max="947" width="7" bestFit="1" customWidth="1"/>
    <col min="948" max="951" width="8" bestFit="1" customWidth="1"/>
    <col min="952" max="952" width="7" bestFit="1" customWidth="1"/>
    <col min="953" max="953" width="8" bestFit="1" customWidth="1"/>
    <col min="954" max="954" width="5" bestFit="1" customWidth="1"/>
    <col min="955" max="972" width="8" bestFit="1" customWidth="1"/>
    <col min="973" max="973" width="7" bestFit="1" customWidth="1"/>
    <col min="974" max="977" width="8" bestFit="1" customWidth="1"/>
    <col min="978" max="978" width="7" bestFit="1" customWidth="1"/>
    <col min="979" max="981" width="8" bestFit="1" customWidth="1"/>
    <col min="982" max="982" width="7" bestFit="1" customWidth="1"/>
    <col min="983" max="987" width="8" bestFit="1" customWidth="1"/>
    <col min="988" max="988" width="7" bestFit="1" customWidth="1"/>
    <col min="989" max="999" width="8" bestFit="1" customWidth="1"/>
    <col min="1000" max="1000" width="10.77734375" bestFit="1" customWidth="1"/>
  </cols>
  <sheetData>
    <row r="3" spans="1:6" x14ac:dyDescent="0.3">
      <c r="A3" s="3" t="s">
        <v>59</v>
      </c>
      <c r="B3" s="3" t="s">
        <v>58</v>
      </c>
    </row>
    <row r="4" spans="1:6" x14ac:dyDescent="0.3">
      <c r="A4" s="3" t="s">
        <v>54</v>
      </c>
      <c r="B4" t="s">
        <v>29</v>
      </c>
      <c r="C4" t="s">
        <v>35</v>
      </c>
      <c r="D4" t="s">
        <v>26</v>
      </c>
      <c r="E4" t="s">
        <v>16</v>
      </c>
      <c r="F4" t="s">
        <v>55</v>
      </c>
    </row>
    <row r="5" spans="1:6" x14ac:dyDescent="0.3">
      <c r="A5" s="4" t="s">
        <v>34</v>
      </c>
      <c r="B5">
        <v>356670.40000000008</v>
      </c>
      <c r="C5">
        <v>303101.42</v>
      </c>
      <c r="D5">
        <v>325864.87</v>
      </c>
      <c r="E5">
        <v>274156.24</v>
      </c>
      <c r="F5">
        <v>1259792.9300000002</v>
      </c>
    </row>
    <row r="6" spans="1:6" x14ac:dyDescent="0.3">
      <c r="A6" s="4" t="s">
        <v>15</v>
      </c>
      <c r="B6">
        <v>372977.22</v>
      </c>
      <c r="C6">
        <v>342666.29000000015</v>
      </c>
      <c r="D6">
        <v>258985.65</v>
      </c>
      <c r="E6">
        <v>394983.35</v>
      </c>
      <c r="F6">
        <v>1369612.5100000002</v>
      </c>
    </row>
    <row r="7" spans="1:6" x14ac:dyDescent="0.3">
      <c r="A7" s="4" t="s">
        <v>25</v>
      </c>
      <c r="B7">
        <v>269517.74</v>
      </c>
      <c r="C7">
        <v>293663.96000000002</v>
      </c>
      <c r="D7">
        <v>301187.51</v>
      </c>
      <c r="E7">
        <v>289881.65000000008</v>
      </c>
      <c r="F7">
        <v>1154250.8600000001</v>
      </c>
    </row>
    <row r="8" spans="1:6" x14ac:dyDescent="0.3">
      <c r="A8" s="4" t="s">
        <v>21</v>
      </c>
      <c r="B8">
        <v>314309.00000000006</v>
      </c>
      <c r="C8">
        <v>304067.97000000003</v>
      </c>
      <c r="D8">
        <v>315735.50999999995</v>
      </c>
      <c r="E8">
        <v>301496.45</v>
      </c>
      <c r="F8">
        <v>1235608.93</v>
      </c>
    </row>
    <row r="9" spans="1:6" x14ac:dyDescent="0.3">
      <c r="A9" s="4" t="s">
        <v>55</v>
      </c>
      <c r="B9">
        <v>1313474.3600000001</v>
      </c>
      <c r="C9">
        <v>1243499.6400000001</v>
      </c>
      <c r="D9">
        <v>1201773.54</v>
      </c>
      <c r="E9">
        <v>1260517.69</v>
      </c>
      <c r="F9">
        <v>5019265.2300000004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E61E-9202-415D-8DBC-53641C3B784E}">
  <dimension ref="A1:E459"/>
  <sheetViews>
    <sheetView workbookViewId="0">
      <selection activeCell="C1" sqref="C1:C1048576"/>
    </sheetView>
  </sheetViews>
  <sheetFormatPr defaultRowHeight="14.4" x14ac:dyDescent="0.3"/>
  <cols>
    <col min="1" max="1" width="11.21875" customWidth="1"/>
    <col min="2" max="2" width="12.33203125" customWidth="1"/>
    <col min="3" max="3" width="20.6640625" customWidth="1"/>
    <col min="4" max="4" width="34.77734375" customWidth="1"/>
    <col min="5" max="5" width="34.88671875" customWidth="1"/>
  </cols>
  <sheetData>
    <row r="1" spans="1:5" x14ac:dyDescent="0.3">
      <c r="A1" t="s">
        <v>1</v>
      </c>
      <c r="B1" t="s">
        <v>0</v>
      </c>
      <c r="C1" t="s">
        <v>64</v>
      </c>
      <c r="D1" t="s">
        <v>65</v>
      </c>
      <c r="E1" t="s">
        <v>66</v>
      </c>
    </row>
    <row r="2" spans="1:5" x14ac:dyDescent="0.3">
      <c r="A2" s="1">
        <v>44927</v>
      </c>
      <c r="B2">
        <v>1055.6666666666667</v>
      </c>
    </row>
    <row r="3" spans="1:5" x14ac:dyDescent="0.3">
      <c r="A3" s="1">
        <v>44928</v>
      </c>
      <c r="B3">
        <v>1069.5</v>
      </c>
    </row>
    <row r="4" spans="1:5" x14ac:dyDescent="0.3">
      <c r="A4" s="1">
        <v>44929</v>
      </c>
      <c r="B4">
        <v>1071</v>
      </c>
    </row>
    <row r="5" spans="1:5" x14ac:dyDescent="0.3">
      <c r="A5" s="1">
        <v>44930</v>
      </c>
      <c r="B5">
        <v>1061.1666666666667</v>
      </c>
    </row>
    <row r="6" spans="1:5" x14ac:dyDescent="0.3">
      <c r="A6" s="1">
        <v>44931</v>
      </c>
      <c r="B6">
        <v>1052</v>
      </c>
    </row>
    <row r="7" spans="1:5" x14ac:dyDescent="0.3">
      <c r="A7" s="1">
        <v>44932</v>
      </c>
      <c r="B7">
        <v>1074.5</v>
      </c>
    </row>
    <row r="8" spans="1:5" x14ac:dyDescent="0.3">
      <c r="A8" s="1">
        <v>44933</v>
      </c>
      <c r="B8">
        <v>1054.8</v>
      </c>
    </row>
    <row r="9" spans="1:5" x14ac:dyDescent="0.3">
      <c r="A9" s="1">
        <v>44934</v>
      </c>
      <c r="B9">
        <v>1040</v>
      </c>
    </row>
    <row r="10" spans="1:5" x14ac:dyDescent="0.3">
      <c r="A10" s="1">
        <v>44935</v>
      </c>
      <c r="B10">
        <v>1055.5999999999999</v>
      </c>
    </row>
    <row r="11" spans="1:5" x14ac:dyDescent="0.3">
      <c r="A11" s="1">
        <v>44936</v>
      </c>
      <c r="B11">
        <v>1074</v>
      </c>
    </row>
    <row r="12" spans="1:5" x14ac:dyDescent="0.3">
      <c r="A12" s="1">
        <v>44937</v>
      </c>
      <c r="B12">
        <v>1070.5999999999999</v>
      </c>
    </row>
    <row r="13" spans="1:5" x14ac:dyDescent="0.3">
      <c r="A13" s="1">
        <v>44938</v>
      </c>
      <c r="B13">
        <v>1055.2857142857142</v>
      </c>
    </row>
    <row r="14" spans="1:5" x14ac:dyDescent="0.3">
      <c r="A14" s="1">
        <v>44939</v>
      </c>
      <c r="B14">
        <v>1051</v>
      </c>
    </row>
    <row r="15" spans="1:5" x14ac:dyDescent="0.3">
      <c r="A15" s="1">
        <v>44940</v>
      </c>
      <c r="B15">
        <v>1042.75</v>
      </c>
    </row>
    <row r="16" spans="1:5" x14ac:dyDescent="0.3">
      <c r="A16" s="1">
        <v>44941</v>
      </c>
      <c r="B16">
        <v>1044</v>
      </c>
    </row>
    <row r="17" spans="1:2" x14ac:dyDescent="0.3">
      <c r="A17" s="1">
        <v>44942</v>
      </c>
      <c r="B17">
        <v>1023.5</v>
      </c>
    </row>
    <row r="18" spans="1:2" x14ac:dyDescent="0.3">
      <c r="A18" s="1">
        <v>44943</v>
      </c>
      <c r="B18">
        <v>1045</v>
      </c>
    </row>
    <row r="19" spans="1:2" x14ac:dyDescent="0.3">
      <c r="A19" s="1">
        <v>44944</v>
      </c>
      <c r="B19">
        <v>1080</v>
      </c>
    </row>
    <row r="20" spans="1:2" x14ac:dyDescent="0.3">
      <c r="A20" s="1">
        <v>44945</v>
      </c>
      <c r="B20">
        <v>1048</v>
      </c>
    </row>
    <row r="21" spans="1:2" x14ac:dyDescent="0.3">
      <c r="A21" s="1">
        <v>44946</v>
      </c>
      <c r="B21">
        <v>1052</v>
      </c>
    </row>
    <row r="22" spans="1:2" x14ac:dyDescent="0.3">
      <c r="A22" s="1">
        <v>44947</v>
      </c>
      <c r="B22">
        <v>1003</v>
      </c>
    </row>
    <row r="23" spans="1:2" x14ac:dyDescent="0.3">
      <c r="A23" s="1">
        <v>44948</v>
      </c>
      <c r="B23">
        <v>1028.6666666666667</v>
      </c>
    </row>
    <row r="24" spans="1:2" x14ac:dyDescent="0.3">
      <c r="A24" s="1">
        <v>44949</v>
      </c>
      <c r="B24">
        <v>1030.6666666666667</v>
      </c>
    </row>
    <row r="25" spans="1:2" x14ac:dyDescent="0.3">
      <c r="A25" s="1">
        <v>44950</v>
      </c>
      <c r="B25">
        <v>1035.5</v>
      </c>
    </row>
    <row r="26" spans="1:2" x14ac:dyDescent="0.3">
      <c r="A26" s="1">
        <v>44951</v>
      </c>
      <c r="B26">
        <v>1064.8333333333333</v>
      </c>
    </row>
    <row r="27" spans="1:2" x14ac:dyDescent="0.3">
      <c r="A27" s="1">
        <v>44952</v>
      </c>
      <c r="B27">
        <v>1022.3333333333334</v>
      </c>
    </row>
    <row r="28" spans="1:2" x14ac:dyDescent="0.3">
      <c r="A28" s="1">
        <v>44953</v>
      </c>
      <c r="B28">
        <v>1051.75</v>
      </c>
    </row>
    <row r="29" spans="1:2" x14ac:dyDescent="0.3">
      <c r="A29" s="1">
        <v>44954</v>
      </c>
      <c r="B29">
        <v>1041.2916666666665</v>
      </c>
    </row>
    <row r="30" spans="1:2" x14ac:dyDescent="0.3">
      <c r="A30" s="1">
        <v>44955</v>
      </c>
      <c r="B30">
        <v>1030.8333333333333</v>
      </c>
    </row>
    <row r="31" spans="1:2" x14ac:dyDescent="0.3">
      <c r="A31" s="1">
        <v>44956</v>
      </c>
      <c r="B31">
        <v>1040.1666666666665</v>
      </c>
    </row>
    <row r="32" spans="1:2" x14ac:dyDescent="0.3">
      <c r="A32" s="1">
        <v>44957</v>
      </c>
      <c r="B32">
        <v>1049.5</v>
      </c>
    </row>
    <row r="33" spans="1:2" x14ac:dyDescent="0.3">
      <c r="A33" s="1">
        <v>44958</v>
      </c>
      <c r="B33">
        <v>1083</v>
      </c>
    </row>
    <row r="34" spans="1:2" x14ac:dyDescent="0.3">
      <c r="A34" s="1">
        <v>44959</v>
      </c>
      <c r="B34">
        <v>1096</v>
      </c>
    </row>
    <row r="35" spans="1:2" x14ac:dyDescent="0.3">
      <c r="A35" s="1">
        <v>44960</v>
      </c>
      <c r="B35">
        <v>1033.3333333333333</v>
      </c>
    </row>
    <row r="36" spans="1:2" x14ac:dyDescent="0.3">
      <c r="A36" s="1">
        <v>44961</v>
      </c>
      <c r="B36">
        <v>1032</v>
      </c>
    </row>
    <row r="37" spans="1:2" x14ac:dyDescent="0.3">
      <c r="A37" s="1">
        <v>44962</v>
      </c>
      <c r="B37">
        <v>1052.6666666666667</v>
      </c>
    </row>
    <row r="38" spans="1:2" x14ac:dyDescent="0.3">
      <c r="A38" s="1">
        <v>44963</v>
      </c>
      <c r="B38">
        <v>1029.6666666666667</v>
      </c>
    </row>
    <row r="39" spans="1:2" x14ac:dyDescent="0.3">
      <c r="A39" s="1">
        <v>44964</v>
      </c>
      <c r="B39">
        <v>1054.8</v>
      </c>
    </row>
    <row r="40" spans="1:2" x14ac:dyDescent="0.3">
      <c r="A40" s="1">
        <v>44965</v>
      </c>
      <c r="B40">
        <v>1048.5</v>
      </c>
    </row>
    <row r="41" spans="1:2" x14ac:dyDescent="0.3">
      <c r="A41" s="1">
        <v>44966</v>
      </c>
      <c r="B41">
        <v>1054.5</v>
      </c>
    </row>
    <row r="42" spans="1:2" x14ac:dyDescent="0.3">
      <c r="A42" s="1">
        <v>44967</v>
      </c>
      <c r="B42">
        <v>1057.3333333333333</v>
      </c>
    </row>
    <row r="43" spans="1:2" x14ac:dyDescent="0.3">
      <c r="A43" s="1">
        <v>44968</v>
      </c>
      <c r="B43">
        <v>1029.4000000000001</v>
      </c>
    </row>
    <row r="44" spans="1:2" x14ac:dyDescent="0.3">
      <c r="A44" s="1">
        <v>44969</v>
      </c>
      <c r="B44">
        <v>1052.7</v>
      </c>
    </row>
    <row r="45" spans="1:2" x14ac:dyDescent="0.3">
      <c r="A45" s="1">
        <v>44970</v>
      </c>
      <c r="B45">
        <v>1076</v>
      </c>
    </row>
    <row r="46" spans="1:2" x14ac:dyDescent="0.3">
      <c r="A46" s="1">
        <v>44971</v>
      </c>
      <c r="B46">
        <v>1071.5</v>
      </c>
    </row>
    <row r="47" spans="1:2" x14ac:dyDescent="0.3">
      <c r="A47" s="1">
        <v>44972</v>
      </c>
      <c r="B47">
        <v>1066.75</v>
      </c>
    </row>
    <row r="48" spans="1:2" x14ac:dyDescent="0.3">
      <c r="A48" s="1">
        <v>44973</v>
      </c>
      <c r="B48">
        <v>1033.75</v>
      </c>
    </row>
    <row r="49" spans="1:2" x14ac:dyDescent="0.3">
      <c r="A49" s="1">
        <v>44974</v>
      </c>
      <c r="B49">
        <v>1018.875</v>
      </c>
    </row>
    <row r="50" spans="1:2" x14ac:dyDescent="0.3">
      <c r="A50" s="1">
        <v>44975</v>
      </c>
      <c r="B50">
        <v>1004</v>
      </c>
    </row>
    <row r="51" spans="1:2" x14ac:dyDescent="0.3">
      <c r="A51" s="1">
        <v>44976</v>
      </c>
      <c r="B51">
        <v>1043.5</v>
      </c>
    </row>
    <row r="52" spans="1:2" x14ac:dyDescent="0.3">
      <c r="A52" s="1">
        <v>44977</v>
      </c>
      <c r="B52">
        <v>1009.5</v>
      </c>
    </row>
    <row r="53" spans="1:2" x14ac:dyDescent="0.3">
      <c r="A53" s="1">
        <v>44978</v>
      </c>
      <c r="B53">
        <v>1049</v>
      </c>
    </row>
    <row r="54" spans="1:2" x14ac:dyDescent="0.3">
      <c r="A54" s="1">
        <v>44979</v>
      </c>
      <c r="B54">
        <v>1046</v>
      </c>
    </row>
    <row r="55" spans="1:2" x14ac:dyDescent="0.3">
      <c r="A55" s="1">
        <v>44980</v>
      </c>
      <c r="B55">
        <v>1074</v>
      </c>
    </row>
    <row r="56" spans="1:2" x14ac:dyDescent="0.3">
      <c r="A56" s="1">
        <v>44981</v>
      </c>
      <c r="B56">
        <v>1064.5999999999999</v>
      </c>
    </row>
    <row r="57" spans="1:2" x14ac:dyDescent="0.3">
      <c r="A57" s="1">
        <v>44982</v>
      </c>
      <c r="B57">
        <v>1013</v>
      </c>
    </row>
    <row r="58" spans="1:2" x14ac:dyDescent="0.3">
      <c r="A58" s="1">
        <v>44983</v>
      </c>
      <c r="B58">
        <v>1086</v>
      </c>
    </row>
    <row r="59" spans="1:2" x14ac:dyDescent="0.3">
      <c r="A59" s="1">
        <v>44984</v>
      </c>
      <c r="B59">
        <v>1084</v>
      </c>
    </row>
    <row r="60" spans="1:2" x14ac:dyDescent="0.3">
      <c r="A60" s="1">
        <v>44985</v>
      </c>
      <c r="B60">
        <v>1036.6666666666667</v>
      </c>
    </row>
    <row r="61" spans="1:2" x14ac:dyDescent="0.3">
      <c r="A61" s="1">
        <v>44986</v>
      </c>
      <c r="B61">
        <v>1034.6666666666667</v>
      </c>
    </row>
    <row r="62" spans="1:2" x14ac:dyDescent="0.3">
      <c r="A62" s="1">
        <v>44987</v>
      </c>
      <c r="B62">
        <v>1046.3333333333333</v>
      </c>
    </row>
    <row r="63" spans="1:2" x14ac:dyDescent="0.3">
      <c r="A63" s="1">
        <v>44988</v>
      </c>
      <c r="B63">
        <v>1056.5</v>
      </c>
    </row>
    <row r="64" spans="1:2" x14ac:dyDescent="0.3">
      <c r="A64" s="1">
        <v>44989</v>
      </c>
      <c r="B64">
        <v>1061</v>
      </c>
    </row>
    <row r="65" spans="1:2" x14ac:dyDescent="0.3">
      <c r="A65" s="1">
        <v>44990</v>
      </c>
      <c r="B65">
        <v>1054</v>
      </c>
    </row>
    <row r="66" spans="1:2" x14ac:dyDescent="0.3">
      <c r="A66" s="1">
        <v>44991</v>
      </c>
      <c r="B66">
        <v>1024</v>
      </c>
    </row>
    <row r="67" spans="1:2" x14ac:dyDescent="0.3">
      <c r="A67" s="1">
        <v>44992</v>
      </c>
      <c r="B67">
        <v>1030</v>
      </c>
    </row>
    <row r="68" spans="1:2" x14ac:dyDescent="0.3">
      <c r="A68" s="1">
        <v>44993</v>
      </c>
      <c r="B68">
        <v>1036</v>
      </c>
    </row>
    <row r="69" spans="1:2" x14ac:dyDescent="0.3">
      <c r="A69" s="1">
        <v>44994</v>
      </c>
      <c r="B69">
        <v>1058</v>
      </c>
    </row>
    <row r="70" spans="1:2" x14ac:dyDescent="0.3">
      <c r="A70" s="1">
        <v>44995</v>
      </c>
      <c r="B70">
        <v>1035.6666666666667</v>
      </c>
    </row>
    <row r="71" spans="1:2" x14ac:dyDescent="0.3">
      <c r="A71" s="1">
        <v>44996</v>
      </c>
      <c r="B71">
        <v>1038</v>
      </c>
    </row>
    <row r="72" spans="1:2" x14ac:dyDescent="0.3">
      <c r="A72" s="1">
        <v>44997</v>
      </c>
      <c r="B72">
        <v>1039.125</v>
      </c>
    </row>
    <row r="73" spans="1:2" x14ac:dyDescent="0.3">
      <c r="A73" s="1">
        <v>44998</v>
      </c>
      <c r="B73">
        <v>1040.25</v>
      </c>
    </row>
    <row r="74" spans="1:2" x14ac:dyDescent="0.3">
      <c r="A74" s="1">
        <v>44999</v>
      </c>
      <c r="B74">
        <v>1057.6666666666667</v>
      </c>
    </row>
    <row r="75" spans="1:2" x14ac:dyDescent="0.3">
      <c r="A75" s="1">
        <v>45000</v>
      </c>
      <c r="B75">
        <v>1060</v>
      </c>
    </row>
    <row r="76" spans="1:2" x14ac:dyDescent="0.3">
      <c r="A76" s="1">
        <v>45001</v>
      </c>
      <c r="B76">
        <v>1074</v>
      </c>
    </row>
    <row r="77" spans="1:2" x14ac:dyDescent="0.3">
      <c r="A77" s="1">
        <v>45002</v>
      </c>
      <c r="B77">
        <v>1025.6666666666667</v>
      </c>
    </row>
    <row r="78" spans="1:2" x14ac:dyDescent="0.3">
      <c r="A78" s="1">
        <v>45003</v>
      </c>
      <c r="B78">
        <v>1055.5</v>
      </c>
    </row>
    <row r="79" spans="1:2" x14ac:dyDescent="0.3">
      <c r="A79" s="1">
        <v>45004</v>
      </c>
      <c r="B79">
        <v>1028.3333333333333</v>
      </c>
    </row>
    <row r="80" spans="1:2" x14ac:dyDescent="0.3">
      <c r="A80" s="1">
        <v>45005</v>
      </c>
      <c r="B80">
        <v>1018.5</v>
      </c>
    </row>
    <row r="81" spans="1:2" x14ac:dyDescent="0.3">
      <c r="A81" s="1">
        <v>45006</v>
      </c>
      <c r="B81">
        <v>1076.5</v>
      </c>
    </row>
    <row r="82" spans="1:2" x14ac:dyDescent="0.3">
      <c r="A82" s="1">
        <v>45007</v>
      </c>
      <c r="B82">
        <v>1078</v>
      </c>
    </row>
    <row r="83" spans="1:2" x14ac:dyDescent="0.3">
      <c r="A83" s="1">
        <v>45008</v>
      </c>
      <c r="B83">
        <v>1059</v>
      </c>
    </row>
    <row r="84" spans="1:2" x14ac:dyDescent="0.3">
      <c r="A84" s="1">
        <v>45009</v>
      </c>
      <c r="B84">
        <v>1061</v>
      </c>
    </row>
    <row r="85" spans="1:2" x14ac:dyDescent="0.3">
      <c r="A85" s="1">
        <v>45010</v>
      </c>
      <c r="B85">
        <v>1054.6666666666667</v>
      </c>
    </row>
    <row r="86" spans="1:2" x14ac:dyDescent="0.3">
      <c r="A86" s="1">
        <v>45011</v>
      </c>
      <c r="B86">
        <v>1097</v>
      </c>
    </row>
    <row r="87" spans="1:2" x14ac:dyDescent="0.3">
      <c r="A87" s="1">
        <v>45012</v>
      </c>
      <c r="B87">
        <v>1058.3333333333333</v>
      </c>
    </row>
    <row r="88" spans="1:2" x14ac:dyDescent="0.3">
      <c r="A88" s="1">
        <v>45013</v>
      </c>
      <c r="B88">
        <v>1058</v>
      </c>
    </row>
    <row r="89" spans="1:2" x14ac:dyDescent="0.3">
      <c r="A89" s="1">
        <v>45014</v>
      </c>
      <c r="B89">
        <v>1016</v>
      </c>
    </row>
    <row r="90" spans="1:2" x14ac:dyDescent="0.3">
      <c r="A90" s="1">
        <v>45015</v>
      </c>
      <c r="B90">
        <v>1026.5</v>
      </c>
    </row>
    <row r="91" spans="1:2" x14ac:dyDescent="0.3">
      <c r="A91" s="1">
        <v>45016</v>
      </c>
      <c r="B91">
        <v>1023</v>
      </c>
    </row>
    <row r="92" spans="1:2" x14ac:dyDescent="0.3">
      <c r="A92" s="1">
        <v>45017</v>
      </c>
      <c r="B92">
        <v>1032.3</v>
      </c>
    </row>
    <row r="93" spans="1:2" x14ac:dyDescent="0.3">
      <c r="A93" s="1">
        <v>45018</v>
      </c>
      <c r="B93">
        <v>1041.5999999999999</v>
      </c>
    </row>
    <row r="94" spans="1:2" x14ac:dyDescent="0.3">
      <c r="A94" s="1">
        <v>45019</v>
      </c>
      <c r="B94">
        <v>1097</v>
      </c>
    </row>
    <row r="95" spans="1:2" x14ac:dyDescent="0.3">
      <c r="A95" s="1">
        <v>45020</v>
      </c>
      <c r="B95">
        <v>1064.5</v>
      </c>
    </row>
    <row r="96" spans="1:2" x14ac:dyDescent="0.3">
      <c r="A96" s="1">
        <v>45021</v>
      </c>
      <c r="B96">
        <v>1064.75</v>
      </c>
    </row>
    <row r="97" spans="1:2" x14ac:dyDescent="0.3">
      <c r="A97" s="1">
        <v>45022</v>
      </c>
      <c r="B97">
        <v>1060</v>
      </c>
    </row>
    <row r="98" spans="1:2" x14ac:dyDescent="0.3">
      <c r="A98" s="1">
        <v>45023</v>
      </c>
      <c r="B98">
        <v>1042</v>
      </c>
    </row>
    <row r="99" spans="1:2" x14ac:dyDescent="0.3">
      <c r="A99" s="1">
        <v>45024</v>
      </c>
      <c r="B99">
        <v>1054.2</v>
      </c>
    </row>
    <row r="100" spans="1:2" x14ac:dyDescent="0.3">
      <c r="A100" s="1">
        <v>45025</v>
      </c>
      <c r="B100">
        <v>1049</v>
      </c>
    </row>
    <row r="101" spans="1:2" x14ac:dyDescent="0.3">
      <c r="A101" s="1">
        <v>45026</v>
      </c>
      <c r="B101">
        <v>1045.25</v>
      </c>
    </row>
    <row r="102" spans="1:2" x14ac:dyDescent="0.3">
      <c r="A102" s="1">
        <v>45027</v>
      </c>
      <c r="B102">
        <v>1041.5</v>
      </c>
    </row>
    <row r="103" spans="1:2" x14ac:dyDescent="0.3">
      <c r="A103" s="1">
        <v>45028</v>
      </c>
      <c r="B103">
        <v>1072</v>
      </c>
    </row>
    <row r="104" spans="1:2" x14ac:dyDescent="0.3">
      <c r="A104" s="1">
        <v>45029</v>
      </c>
      <c r="B104">
        <v>1049.5</v>
      </c>
    </row>
    <row r="105" spans="1:2" x14ac:dyDescent="0.3">
      <c r="A105" s="1">
        <v>45030</v>
      </c>
      <c r="B105">
        <v>1044.1666666666667</v>
      </c>
    </row>
    <row r="106" spans="1:2" x14ac:dyDescent="0.3">
      <c r="A106" s="1">
        <v>45031</v>
      </c>
      <c r="B106">
        <v>1011.5</v>
      </c>
    </row>
    <row r="107" spans="1:2" x14ac:dyDescent="0.3">
      <c r="A107" s="1">
        <v>45032</v>
      </c>
      <c r="B107">
        <v>1054</v>
      </c>
    </row>
    <row r="108" spans="1:2" x14ac:dyDescent="0.3">
      <c r="A108" s="1">
        <v>45033</v>
      </c>
      <c r="B108">
        <v>1052</v>
      </c>
    </row>
    <row r="109" spans="1:2" x14ac:dyDescent="0.3">
      <c r="A109" s="1">
        <v>45034</v>
      </c>
      <c r="B109">
        <v>1036</v>
      </c>
    </row>
    <row r="110" spans="1:2" x14ac:dyDescent="0.3">
      <c r="A110" s="1">
        <v>45035</v>
      </c>
      <c r="B110">
        <v>1033</v>
      </c>
    </row>
    <row r="111" spans="1:2" x14ac:dyDescent="0.3">
      <c r="A111" s="1">
        <v>45036</v>
      </c>
      <c r="B111">
        <v>1044</v>
      </c>
    </row>
    <row r="112" spans="1:2" x14ac:dyDescent="0.3">
      <c r="A112" s="1">
        <v>45037</v>
      </c>
      <c r="B112">
        <v>1065.4000000000001</v>
      </c>
    </row>
    <row r="113" spans="1:2" x14ac:dyDescent="0.3">
      <c r="A113" s="1">
        <v>45038</v>
      </c>
      <c r="B113">
        <v>1031.5</v>
      </c>
    </row>
    <row r="114" spans="1:2" x14ac:dyDescent="0.3">
      <c r="A114" s="1">
        <v>45039</v>
      </c>
      <c r="B114">
        <v>1029.25</v>
      </c>
    </row>
    <row r="115" spans="1:2" x14ac:dyDescent="0.3">
      <c r="A115" s="1">
        <v>45040</v>
      </c>
      <c r="B115">
        <v>1039</v>
      </c>
    </row>
    <row r="116" spans="1:2" x14ac:dyDescent="0.3">
      <c r="A116" s="1">
        <v>45041</v>
      </c>
      <c r="B116">
        <v>1069.6666666666667</v>
      </c>
    </row>
    <row r="117" spans="1:2" x14ac:dyDescent="0.3">
      <c r="A117" s="1">
        <v>45042</v>
      </c>
      <c r="B117">
        <v>1075</v>
      </c>
    </row>
    <row r="118" spans="1:2" x14ac:dyDescent="0.3">
      <c r="A118" s="1">
        <v>45043</v>
      </c>
      <c r="B118">
        <v>1025.4000000000001</v>
      </c>
    </row>
    <row r="119" spans="1:2" x14ac:dyDescent="0.3">
      <c r="A119" s="1">
        <v>45044</v>
      </c>
      <c r="B119">
        <v>1017.75</v>
      </c>
    </row>
    <row r="120" spans="1:2" x14ac:dyDescent="0.3">
      <c r="A120" s="1">
        <v>45045</v>
      </c>
      <c r="B120">
        <v>1074.5</v>
      </c>
    </row>
    <row r="121" spans="1:2" x14ac:dyDescent="0.3">
      <c r="A121" s="1">
        <v>45046</v>
      </c>
      <c r="B121">
        <v>1041.25</v>
      </c>
    </row>
    <row r="122" spans="1:2" x14ac:dyDescent="0.3">
      <c r="A122" s="1">
        <v>45047</v>
      </c>
      <c r="B122">
        <v>1051.125</v>
      </c>
    </row>
    <row r="123" spans="1:2" x14ac:dyDescent="0.3">
      <c r="A123" s="1">
        <v>45048</v>
      </c>
      <c r="B123">
        <v>1061</v>
      </c>
    </row>
    <row r="124" spans="1:2" x14ac:dyDescent="0.3">
      <c r="A124" s="1">
        <v>45049</v>
      </c>
      <c r="B124">
        <v>1039.3333333333333</v>
      </c>
    </row>
    <row r="125" spans="1:2" x14ac:dyDescent="0.3">
      <c r="A125" s="1">
        <v>45050</v>
      </c>
      <c r="B125">
        <v>1086</v>
      </c>
    </row>
    <row r="126" spans="1:2" x14ac:dyDescent="0.3">
      <c r="A126" s="1">
        <v>45051</v>
      </c>
      <c r="B126">
        <v>1062</v>
      </c>
    </row>
    <row r="127" spans="1:2" x14ac:dyDescent="0.3">
      <c r="A127" s="1">
        <v>45052</v>
      </c>
      <c r="B127">
        <v>1063.25</v>
      </c>
    </row>
    <row r="128" spans="1:2" x14ac:dyDescent="0.3">
      <c r="A128" s="1">
        <v>45053</v>
      </c>
      <c r="B128">
        <v>1064.5</v>
      </c>
    </row>
    <row r="129" spans="1:2" x14ac:dyDescent="0.3">
      <c r="A129" s="1">
        <v>45054</v>
      </c>
      <c r="B129">
        <v>1062</v>
      </c>
    </row>
    <row r="130" spans="1:2" x14ac:dyDescent="0.3">
      <c r="A130" s="1">
        <v>45055</v>
      </c>
      <c r="B130">
        <v>1012</v>
      </c>
    </row>
    <row r="131" spans="1:2" x14ac:dyDescent="0.3">
      <c r="A131" s="1">
        <v>45056</v>
      </c>
      <c r="B131">
        <v>1032</v>
      </c>
    </row>
    <row r="132" spans="1:2" x14ac:dyDescent="0.3">
      <c r="A132" s="1">
        <v>45057</v>
      </c>
      <c r="B132">
        <v>1038.5</v>
      </c>
    </row>
    <row r="133" spans="1:2" x14ac:dyDescent="0.3">
      <c r="A133" s="1">
        <v>45058</v>
      </c>
      <c r="B133">
        <v>1035.5</v>
      </c>
    </row>
    <row r="134" spans="1:2" x14ac:dyDescent="0.3">
      <c r="A134" s="1">
        <v>45059</v>
      </c>
      <c r="B134">
        <v>1058</v>
      </c>
    </row>
    <row r="135" spans="1:2" x14ac:dyDescent="0.3">
      <c r="A135" s="1">
        <v>45060</v>
      </c>
      <c r="B135">
        <v>1042</v>
      </c>
    </row>
    <row r="136" spans="1:2" x14ac:dyDescent="0.3">
      <c r="A136" s="1">
        <v>45061</v>
      </c>
      <c r="B136">
        <v>1052</v>
      </c>
    </row>
    <row r="137" spans="1:2" x14ac:dyDescent="0.3">
      <c r="A137" s="1">
        <v>45062</v>
      </c>
      <c r="B137">
        <v>1062</v>
      </c>
    </row>
    <row r="138" spans="1:2" x14ac:dyDescent="0.3">
      <c r="A138" s="1">
        <v>45063</v>
      </c>
      <c r="B138">
        <v>1042.4000000000001</v>
      </c>
    </row>
    <row r="139" spans="1:2" x14ac:dyDescent="0.3">
      <c r="A139" s="1">
        <v>45064</v>
      </c>
      <c r="B139">
        <v>1063</v>
      </c>
    </row>
    <row r="140" spans="1:2" x14ac:dyDescent="0.3">
      <c r="A140" s="1">
        <v>45065</v>
      </c>
      <c r="B140">
        <v>1050</v>
      </c>
    </row>
    <row r="141" spans="1:2" x14ac:dyDescent="0.3">
      <c r="A141" s="1">
        <v>45066</v>
      </c>
      <c r="B141">
        <v>1041.5</v>
      </c>
    </row>
    <row r="142" spans="1:2" x14ac:dyDescent="0.3">
      <c r="A142" s="1">
        <v>45067</v>
      </c>
      <c r="B142">
        <v>1023</v>
      </c>
    </row>
    <row r="143" spans="1:2" x14ac:dyDescent="0.3">
      <c r="A143" s="1">
        <v>45068</v>
      </c>
      <c r="B143">
        <v>1042</v>
      </c>
    </row>
    <row r="144" spans="1:2" x14ac:dyDescent="0.3">
      <c r="A144" s="1">
        <v>45069</v>
      </c>
      <c r="B144">
        <v>1070.3333333333333</v>
      </c>
    </row>
    <row r="145" spans="1:2" x14ac:dyDescent="0.3">
      <c r="A145" s="1">
        <v>45070</v>
      </c>
      <c r="B145">
        <v>1019</v>
      </c>
    </row>
    <row r="146" spans="1:2" x14ac:dyDescent="0.3">
      <c r="A146" s="1">
        <v>45071</v>
      </c>
      <c r="B146">
        <v>1062.6666666666667</v>
      </c>
    </row>
    <row r="147" spans="1:2" x14ac:dyDescent="0.3">
      <c r="A147" s="1">
        <v>45072</v>
      </c>
      <c r="B147">
        <v>1062</v>
      </c>
    </row>
    <row r="148" spans="1:2" x14ac:dyDescent="0.3">
      <c r="A148" s="1">
        <v>45073</v>
      </c>
      <c r="B148">
        <v>1036.75</v>
      </c>
    </row>
    <row r="149" spans="1:2" x14ac:dyDescent="0.3">
      <c r="A149" s="1">
        <v>45074</v>
      </c>
      <c r="B149">
        <v>1030.8</v>
      </c>
    </row>
    <row r="150" spans="1:2" x14ac:dyDescent="0.3">
      <c r="A150" s="1">
        <v>45075</v>
      </c>
      <c r="B150">
        <v>1064.6666666666667</v>
      </c>
    </row>
    <row r="151" spans="1:2" x14ac:dyDescent="0.3">
      <c r="A151" s="1">
        <v>45076</v>
      </c>
      <c r="B151">
        <v>1014.6666666666666</v>
      </c>
    </row>
    <row r="152" spans="1:2" x14ac:dyDescent="0.3">
      <c r="A152" s="1">
        <v>45077</v>
      </c>
      <c r="B152">
        <v>1064</v>
      </c>
    </row>
    <row r="153" spans="1:2" x14ac:dyDescent="0.3">
      <c r="A153" s="1">
        <v>45078</v>
      </c>
      <c r="B153">
        <v>1040.5999999999999</v>
      </c>
    </row>
    <row r="154" spans="1:2" x14ac:dyDescent="0.3">
      <c r="A154" s="1">
        <v>45079</v>
      </c>
      <c r="B154">
        <v>1056.5999999999999</v>
      </c>
    </row>
    <row r="155" spans="1:2" x14ac:dyDescent="0.3">
      <c r="A155" s="1">
        <v>45080</v>
      </c>
      <c r="B155">
        <v>1060.8</v>
      </c>
    </row>
    <row r="156" spans="1:2" x14ac:dyDescent="0.3">
      <c r="A156" s="1">
        <v>45081</v>
      </c>
      <c r="B156">
        <v>1058.5</v>
      </c>
    </row>
    <row r="157" spans="1:2" x14ac:dyDescent="0.3">
      <c r="A157" s="1">
        <v>45082</v>
      </c>
      <c r="B157">
        <v>1082</v>
      </c>
    </row>
    <row r="158" spans="1:2" x14ac:dyDescent="0.3">
      <c r="A158" s="1">
        <v>45083</v>
      </c>
      <c r="B158">
        <v>1041</v>
      </c>
    </row>
    <row r="159" spans="1:2" x14ac:dyDescent="0.3">
      <c r="A159" s="1">
        <v>45084</v>
      </c>
      <c r="B159">
        <v>1058.75</v>
      </c>
    </row>
    <row r="160" spans="1:2" x14ac:dyDescent="0.3">
      <c r="A160" s="1">
        <v>45085</v>
      </c>
      <c r="B160">
        <v>1033.6666666666667</v>
      </c>
    </row>
    <row r="161" spans="1:2" x14ac:dyDescent="0.3">
      <c r="A161" s="1">
        <v>45086</v>
      </c>
      <c r="B161">
        <v>1052.3333333333333</v>
      </c>
    </row>
    <row r="162" spans="1:2" x14ac:dyDescent="0.3">
      <c r="A162" s="1">
        <v>45087</v>
      </c>
      <c r="B162">
        <v>1052</v>
      </c>
    </row>
    <row r="163" spans="1:2" x14ac:dyDescent="0.3">
      <c r="A163" s="1">
        <v>45088</v>
      </c>
      <c r="B163">
        <v>1083.5</v>
      </c>
    </row>
    <row r="164" spans="1:2" x14ac:dyDescent="0.3">
      <c r="A164" s="1">
        <v>45089</v>
      </c>
      <c r="B164">
        <v>1043</v>
      </c>
    </row>
    <row r="165" spans="1:2" x14ac:dyDescent="0.3">
      <c r="A165" s="1">
        <v>45090</v>
      </c>
      <c r="B165">
        <v>1063.5</v>
      </c>
    </row>
    <row r="166" spans="1:2" x14ac:dyDescent="0.3">
      <c r="A166" s="1">
        <v>45091</v>
      </c>
      <c r="B166">
        <v>1008.6666666666666</v>
      </c>
    </row>
    <row r="167" spans="1:2" x14ac:dyDescent="0.3">
      <c r="A167" s="1">
        <v>45092</v>
      </c>
      <c r="B167">
        <v>1047.25</v>
      </c>
    </row>
    <row r="168" spans="1:2" x14ac:dyDescent="0.3">
      <c r="A168" s="1">
        <v>45093</v>
      </c>
      <c r="B168">
        <v>1061.625</v>
      </c>
    </row>
    <row r="169" spans="1:2" x14ac:dyDescent="0.3">
      <c r="A169" s="1">
        <v>45094</v>
      </c>
      <c r="B169">
        <v>1076</v>
      </c>
    </row>
    <row r="170" spans="1:2" x14ac:dyDescent="0.3">
      <c r="A170" s="1">
        <v>45095</v>
      </c>
      <c r="B170">
        <v>1038</v>
      </c>
    </row>
    <row r="171" spans="1:2" x14ac:dyDescent="0.3">
      <c r="A171" s="1">
        <v>45096</v>
      </c>
      <c r="B171">
        <v>1025.3333333333333</v>
      </c>
    </row>
    <row r="172" spans="1:2" x14ac:dyDescent="0.3">
      <c r="A172" s="1">
        <v>45097</v>
      </c>
      <c r="B172">
        <v>1035</v>
      </c>
    </row>
    <row r="173" spans="1:2" x14ac:dyDescent="0.3">
      <c r="A173" s="1">
        <v>45098</v>
      </c>
      <c r="B173">
        <v>1041</v>
      </c>
    </row>
    <row r="174" spans="1:2" x14ac:dyDescent="0.3">
      <c r="A174" s="1">
        <v>45099</v>
      </c>
      <c r="B174">
        <v>1057.5</v>
      </c>
    </row>
    <row r="175" spans="1:2" x14ac:dyDescent="0.3">
      <c r="A175" s="1">
        <v>45100</v>
      </c>
      <c r="B175">
        <v>1060.5</v>
      </c>
    </row>
    <row r="176" spans="1:2" x14ac:dyDescent="0.3">
      <c r="A176" s="1">
        <v>45101</v>
      </c>
      <c r="B176">
        <v>1037</v>
      </c>
    </row>
    <row r="177" spans="1:2" x14ac:dyDescent="0.3">
      <c r="A177" s="1">
        <v>45102</v>
      </c>
      <c r="B177">
        <v>1030.6666666666667</v>
      </c>
    </row>
    <row r="178" spans="1:2" x14ac:dyDescent="0.3">
      <c r="A178" s="1">
        <v>45103</v>
      </c>
      <c r="B178">
        <v>1053</v>
      </c>
    </row>
    <row r="179" spans="1:2" x14ac:dyDescent="0.3">
      <c r="A179" s="1">
        <v>45104</v>
      </c>
      <c r="B179">
        <v>1036</v>
      </c>
    </row>
    <row r="180" spans="1:2" x14ac:dyDescent="0.3">
      <c r="A180" s="1">
        <v>45105</v>
      </c>
      <c r="B180">
        <v>1044</v>
      </c>
    </row>
    <row r="181" spans="1:2" x14ac:dyDescent="0.3">
      <c r="A181" s="1">
        <v>45106</v>
      </c>
      <c r="B181">
        <v>1071</v>
      </c>
    </row>
    <row r="182" spans="1:2" x14ac:dyDescent="0.3">
      <c r="A182" s="1">
        <v>45107</v>
      </c>
      <c r="B182">
        <v>1061</v>
      </c>
    </row>
    <row r="183" spans="1:2" x14ac:dyDescent="0.3">
      <c r="A183" s="1">
        <v>45108</v>
      </c>
      <c r="B183">
        <v>1051</v>
      </c>
    </row>
    <row r="184" spans="1:2" x14ac:dyDescent="0.3">
      <c r="A184" s="1">
        <v>45109</v>
      </c>
      <c r="B184">
        <v>1040.5</v>
      </c>
    </row>
    <row r="185" spans="1:2" x14ac:dyDescent="0.3">
      <c r="A185" s="1">
        <v>45110</v>
      </c>
      <c r="B185">
        <v>1066</v>
      </c>
    </row>
    <row r="186" spans="1:2" x14ac:dyDescent="0.3">
      <c r="A186" s="1">
        <v>45111</v>
      </c>
      <c r="B186">
        <v>1029</v>
      </c>
    </row>
    <row r="187" spans="1:2" x14ac:dyDescent="0.3">
      <c r="A187" s="1">
        <v>45112</v>
      </c>
      <c r="B187">
        <v>1067</v>
      </c>
    </row>
    <row r="188" spans="1:2" x14ac:dyDescent="0.3">
      <c r="A188" s="1">
        <v>45113</v>
      </c>
      <c r="B188">
        <v>1054</v>
      </c>
    </row>
    <row r="189" spans="1:2" x14ac:dyDescent="0.3">
      <c r="A189" s="1">
        <v>45114</v>
      </c>
      <c r="B189">
        <v>1051.2</v>
      </c>
    </row>
    <row r="190" spans="1:2" x14ac:dyDescent="0.3">
      <c r="A190" s="1">
        <v>45115</v>
      </c>
      <c r="B190">
        <v>1042</v>
      </c>
    </row>
    <row r="191" spans="1:2" x14ac:dyDescent="0.3">
      <c r="A191" s="1">
        <v>45116</v>
      </c>
      <c r="B191">
        <v>1086</v>
      </c>
    </row>
    <row r="192" spans="1:2" x14ac:dyDescent="0.3">
      <c r="A192" s="1">
        <v>45117</v>
      </c>
      <c r="B192">
        <v>1047</v>
      </c>
    </row>
    <row r="193" spans="1:2" x14ac:dyDescent="0.3">
      <c r="A193" s="1">
        <v>45118</v>
      </c>
      <c r="B193">
        <v>1058.5</v>
      </c>
    </row>
    <row r="194" spans="1:2" x14ac:dyDescent="0.3">
      <c r="A194" s="1">
        <v>45119</v>
      </c>
      <c r="B194">
        <v>1042.3333333333333</v>
      </c>
    </row>
    <row r="195" spans="1:2" x14ac:dyDescent="0.3">
      <c r="A195" s="1">
        <v>45120</v>
      </c>
      <c r="B195">
        <v>1026.3333333333333</v>
      </c>
    </row>
    <row r="196" spans="1:2" x14ac:dyDescent="0.3">
      <c r="A196" s="1">
        <v>45121</v>
      </c>
      <c r="B196">
        <v>1046</v>
      </c>
    </row>
    <row r="197" spans="1:2" x14ac:dyDescent="0.3">
      <c r="A197" s="1">
        <v>45122</v>
      </c>
      <c r="B197">
        <v>1034.5</v>
      </c>
    </row>
    <row r="198" spans="1:2" x14ac:dyDescent="0.3">
      <c r="A198" s="1">
        <v>45123</v>
      </c>
      <c r="B198">
        <v>1017</v>
      </c>
    </row>
    <row r="199" spans="1:2" x14ac:dyDescent="0.3">
      <c r="A199" s="1">
        <v>45124</v>
      </c>
      <c r="B199">
        <v>1046.2</v>
      </c>
    </row>
    <row r="200" spans="1:2" x14ac:dyDescent="0.3">
      <c r="A200" s="1">
        <v>45125</v>
      </c>
      <c r="B200">
        <v>1040.3333333333333</v>
      </c>
    </row>
    <row r="201" spans="1:2" x14ac:dyDescent="0.3">
      <c r="A201" s="1">
        <v>45126</v>
      </c>
      <c r="B201">
        <v>1076</v>
      </c>
    </row>
    <row r="202" spans="1:2" x14ac:dyDescent="0.3">
      <c r="A202" s="1">
        <v>45127</v>
      </c>
      <c r="B202">
        <v>1067.6666666666667</v>
      </c>
    </row>
    <row r="203" spans="1:2" x14ac:dyDescent="0.3">
      <c r="A203" s="1">
        <v>45128</v>
      </c>
      <c r="B203">
        <v>1042.25</v>
      </c>
    </row>
    <row r="204" spans="1:2" x14ac:dyDescent="0.3">
      <c r="A204" s="1">
        <v>45129</v>
      </c>
      <c r="B204">
        <v>1039</v>
      </c>
    </row>
    <row r="205" spans="1:2" x14ac:dyDescent="0.3">
      <c r="A205" s="1">
        <v>45130</v>
      </c>
      <c r="B205">
        <v>1049</v>
      </c>
    </row>
    <row r="206" spans="1:2" x14ac:dyDescent="0.3">
      <c r="A206" s="1">
        <v>45131</v>
      </c>
      <c r="B206">
        <v>1098</v>
      </c>
    </row>
    <row r="207" spans="1:2" x14ac:dyDescent="0.3">
      <c r="A207" s="1">
        <v>45132</v>
      </c>
      <c r="B207">
        <v>1025</v>
      </c>
    </row>
    <row r="208" spans="1:2" x14ac:dyDescent="0.3">
      <c r="A208" s="1">
        <v>45133</v>
      </c>
      <c r="B208">
        <v>1015</v>
      </c>
    </row>
    <row r="209" spans="1:2" x14ac:dyDescent="0.3">
      <c r="A209" s="1">
        <v>45134</v>
      </c>
      <c r="B209">
        <v>1070</v>
      </c>
    </row>
    <row r="210" spans="1:2" x14ac:dyDescent="0.3">
      <c r="A210" s="1">
        <v>45135</v>
      </c>
      <c r="B210">
        <v>1053.6666666666667</v>
      </c>
    </row>
    <row r="211" spans="1:2" x14ac:dyDescent="0.3">
      <c r="A211" s="1">
        <v>45136</v>
      </c>
      <c r="B211">
        <v>1070.25</v>
      </c>
    </row>
    <row r="212" spans="1:2" x14ac:dyDescent="0.3">
      <c r="A212" s="1">
        <v>45137</v>
      </c>
      <c r="B212">
        <v>1068</v>
      </c>
    </row>
    <row r="213" spans="1:2" x14ac:dyDescent="0.3">
      <c r="A213" s="1">
        <v>45138</v>
      </c>
      <c r="B213">
        <v>1002</v>
      </c>
    </row>
    <row r="214" spans="1:2" x14ac:dyDescent="0.3">
      <c r="A214" s="1">
        <v>45139</v>
      </c>
      <c r="B214">
        <v>1051</v>
      </c>
    </row>
    <row r="215" spans="1:2" x14ac:dyDescent="0.3">
      <c r="A215" s="1">
        <v>45140</v>
      </c>
      <c r="B215">
        <v>1054.3333333333333</v>
      </c>
    </row>
    <row r="216" spans="1:2" x14ac:dyDescent="0.3">
      <c r="A216" s="1">
        <v>45141</v>
      </c>
      <c r="B216">
        <v>1019.6666666666666</v>
      </c>
    </row>
    <row r="217" spans="1:2" x14ac:dyDescent="0.3">
      <c r="A217" s="1">
        <v>45142</v>
      </c>
      <c r="B217">
        <v>1027.75</v>
      </c>
    </row>
    <row r="218" spans="1:2" x14ac:dyDescent="0.3">
      <c r="A218" s="1">
        <v>45143</v>
      </c>
      <c r="B218">
        <v>1015.5</v>
      </c>
    </row>
    <row r="219" spans="1:2" x14ac:dyDescent="0.3">
      <c r="A219" s="1">
        <v>45144</v>
      </c>
      <c r="B219">
        <v>1074</v>
      </c>
    </row>
    <row r="220" spans="1:2" x14ac:dyDescent="0.3">
      <c r="A220" s="1">
        <v>45145</v>
      </c>
      <c r="B220">
        <v>1046</v>
      </c>
    </row>
    <row r="221" spans="1:2" x14ac:dyDescent="0.3">
      <c r="A221" s="1">
        <v>45146</v>
      </c>
      <c r="B221">
        <v>1045.5</v>
      </c>
    </row>
    <row r="222" spans="1:2" x14ac:dyDescent="0.3">
      <c r="A222" s="1">
        <v>45147</v>
      </c>
      <c r="B222">
        <v>1047</v>
      </c>
    </row>
    <row r="223" spans="1:2" x14ac:dyDescent="0.3">
      <c r="A223" s="1">
        <v>45148</v>
      </c>
      <c r="B223">
        <v>1045</v>
      </c>
    </row>
    <row r="224" spans="1:2" x14ac:dyDescent="0.3">
      <c r="A224" s="1">
        <v>45149</v>
      </c>
      <c r="B224">
        <v>1036.8</v>
      </c>
    </row>
    <row r="225" spans="1:2" x14ac:dyDescent="0.3">
      <c r="A225" s="1">
        <v>45150</v>
      </c>
      <c r="B225">
        <v>1051</v>
      </c>
    </row>
    <row r="226" spans="1:2" x14ac:dyDescent="0.3">
      <c r="A226" s="1">
        <v>45151</v>
      </c>
      <c r="B226">
        <v>1047.3333333333333</v>
      </c>
    </row>
    <row r="227" spans="1:2" x14ac:dyDescent="0.3">
      <c r="A227" s="1">
        <v>45152</v>
      </c>
      <c r="B227">
        <v>1069</v>
      </c>
    </row>
    <row r="228" spans="1:2" x14ac:dyDescent="0.3">
      <c r="A228" s="1">
        <v>45153</v>
      </c>
      <c r="B228">
        <v>1059.8333333333333</v>
      </c>
    </row>
    <row r="229" spans="1:2" x14ac:dyDescent="0.3">
      <c r="A229" s="1">
        <v>45154</v>
      </c>
      <c r="B229">
        <v>1053</v>
      </c>
    </row>
    <row r="230" spans="1:2" x14ac:dyDescent="0.3">
      <c r="A230" s="1">
        <v>45155</v>
      </c>
      <c r="B230">
        <v>1022.8</v>
      </c>
    </row>
    <row r="231" spans="1:2" x14ac:dyDescent="0.3">
      <c r="A231" s="1">
        <v>45156</v>
      </c>
      <c r="B231">
        <v>1056.4000000000001</v>
      </c>
    </row>
    <row r="232" spans="1:2" x14ac:dyDescent="0.3">
      <c r="A232" s="1">
        <v>45157</v>
      </c>
      <c r="B232">
        <v>1090</v>
      </c>
    </row>
    <row r="233" spans="1:2" x14ac:dyDescent="0.3">
      <c r="A233" s="1">
        <v>45158</v>
      </c>
      <c r="B233">
        <v>1005</v>
      </c>
    </row>
    <row r="234" spans="1:2" x14ac:dyDescent="0.3">
      <c r="A234" s="1">
        <v>45159</v>
      </c>
      <c r="B234">
        <v>1067.3333333333333</v>
      </c>
    </row>
    <row r="235" spans="1:2" x14ac:dyDescent="0.3">
      <c r="A235" s="1">
        <v>45160</v>
      </c>
      <c r="B235">
        <v>1092</v>
      </c>
    </row>
    <row r="236" spans="1:2" x14ac:dyDescent="0.3">
      <c r="A236" s="1">
        <v>45161</v>
      </c>
      <c r="B236">
        <v>1031.5</v>
      </c>
    </row>
    <row r="237" spans="1:2" x14ac:dyDescent="0.3">
      <c r="A237" s="1">
        <v>45162</v>
      </c>
      <c r="B237">
        <v>1081.6666666666667</v>
      </c>
    </row>
    <row r="238" spans="1:2" x14ac:dyDescent="0.3">
      <c r="A238" s="1">
        <v>45163</v>
      </c>
      <c r="B238">
        <v>1042.25</v>
      </c>
    </row>
    <row r="239" spans="1:2" x14ac:dyDescent="0.3">
      <c r="A239" s="1">
        <v>45164</v>
      </c>
      <c r="B239">
        <v>1099</v>
      </c>
    </row>
    <row r="240" spans="1:2" x14ac:dyDescent="0.3">
      <c r="A240" s="1">
        <v>45165</v>
      </c>
      <c r="B240">
        <v>1016</v>
      </c>
    </row>
    <row r="241" spans="1:2" x14ac:dyDescent="0.3">
      <c r="A241" s="1">
        <v>45166</v>
      </c>
      <c r="B241">
        <v>1043.25</v>
      </c>
    </row>
    <row r="242" spans="1:2" x14ac:dyDescent="0.3">
      <c r="A242" s="1">
        <v>45167</v>
      </c>
      <c r="B242">
        <v>1070.5</v>
      </c>
    </row>
    <row r="243" spans="1:2" x14ac:dyDescent="0.3">
      <c r="A243" s="1">
        <v>45168</v>
      </c>
      <c r="B243">
        <v>1055</v>
      </c>
    </row>
    <row r="244" spans="1:2" x14ac:dyDescent="0.3">
      <c r="A244" s="1">
        <v>45169</v>
      </c>
      <c r="B244">
        <v>1044.5999999999999</v>
      </c>
    </row>
    <row r="245" spans="1:2" x14ac:dyDescent="0.3">
      <c r="A245" s="1">
        <v>45170</v>
      </c>
      <c r="B245">
        <v>1052.5</v>
      </c>
    </row>
    <row r="246" spans="1:2" x14ac:dyDescent="0.3">
      <c r="A246" s="1">
        <v>45171</v>
      </c>
      <c r="B246">
        <v>1058</v>
      </c>
    </row>
    <row r="247" spans="1:2" x14ac:dyDescent="0.3">
      <c r="A247" s="1">
        <v>45172</v>
      </c>
      <c r="B247">
        <v>1039</v>
      </c>
    </row>
    <row r="248" spans="1:2" x14ac:dyDescent="0.3">
      <c r="A248" s="1">
        <v>45173</v>
      </c>
      <c r="B248">
        <v>1080</v>
      </c>
    </row>
    <row r="249" spans="1:2" x14ac:dyDescent="0.3">
      <c r="A249" s="1">
        <v>45174</v>
      </c>
      <c r="B249">
        <v>1050</v>
      </c>
    </row>
    <row r="250" spans="1:2" x14ac:dyDescent="0.3">
      <c r="A250" s="1">
        <v>45175</v>
      </c>
      <c r="B250">
        <v>1020</v>
      </c>
    </row>
    <row r="251" spans="1:2" x14ac:dyDescent="0.3">
      <c r="A251" s="1">
        <v>45176</v>
      </c>
      <c r="B251">
        <v>1033</v>
      </c>
    </row>
    <row r="252" spans="1:2" x14ac:dyDescent="0.3">
      <c r="A252" s="1">
        <v>45177</v>
      </c>
      <c r="B252">
        <v>1049.4000000000001</v>
      </c>
    </row>
    <row r="253" spans="1:2" x14ac:dyDescent="0.3">
      <c r="A253" s="1">
        <v>45178</v>
      </c>
      <c r="B253">
        <v>1049.4333333333334</v>
      </c>
    </row>
    <row r="254" spans="1:2" x14ac:dyDescent="0.3">
      <c r="A254" s="1">
        <v>45179</v>
      </c>
      <c r="B254">
        <v>1049.4666666666667</v>
      </c>
    </row>
    <row r="255" spans="1:2" x14ac:dyDescent="0.3">
      <c r="A255" s="1">
        <v>45180</v>
      </c>
      <c r="B255">
        <v>1049.5</v>
      </c>
    </row>
    <row r="256" spans="1:2" x14ac:dyDescent="0.3">
      <c r="A256" s="1">
        <v>45181</v>
      </c>
      <c r="B256">
        <v>1014</v>
      </c>
    </row>
    <row r="257" spans="1:2" x14ac:dyDescent="0.3">
      <c r="A257" s="1">
        <v>45182</v>
      </c>
      <c r="B257">
        <v>1037</v>
      </c>
    </row>
    <row r="258" spans="1:2" x14ac:dyDescent="0.3">
      <c r="A258" s="1">
        <v>45183</v>
      </c>
      <c r="B258">
        <v>1042</v>
      </c>
    </row>
    <row r="259" spans="1:2" x14ac:dyDescent="0.3">
      <c r="A259" s="1">
        <v>45184</v>
      </c>
      <c r="B259">
        <v>1054</v>
      </c>
    </row>
    <row r="260" spans="1:2" x14ac:dyDescent="0.3">
      <c r="A260" s="1">
        <v>45185</v>
      </c>
      <c r="B260">
        <v>1009</v>
      </c>
    </row>
    <row r="261" spans="1:2" x14ac:dyDescent="0.3">
      <c r="A261" s="1">
        <v>45186</v>
      </c>
      <c r="B261">
        <v>1100</v>
      </c>
    </row>
    <row r="262" spans="1:2" x14ac:dyDescent="0.3">
      <c r="A262" s="1">
        <v>45187</v>
      </c>
      <c r="B262">
        <v>1049.8</v>
      </c>
    </row>
    <row r="263" spans="1:2" x14ac:dyDescent="0.3">
      <c r="A263" s="1">
        <v>45188</v>
      </c>
      <c r="B263">
        <v>1030</v>
      </c>
    </row>
    <row r="264" spans="1:2" x14ac:dyDescent="0.3">
      <c r="A264" s="1">
        <v>45189</v>
      </c>
      <c r="B264">
        <v>1097</v>
      </c>
    </row>
    <row r="265" spans="1:2" x14ac:dyDescent="0.3">
      <c r="A265" s="1">
        <v>45190</v>
      </c>
      <c r="B265">
        <v>1059.5999999999999</v>
      </c>
    </row>
    <row r="266" spans="1:2" x14ac:dyDescent="0.3">
      <c r="A266" s="1">
        <v>45191</v>
      </c>
      <c r="B266">
        <v>1015</v>
      </c>
    </row>
    <row r="267" spans="1:2" x14ac:dyDescent="0.3">
      <c r="A267" s="1">
        <v>45192</v>
      </c>
      <c r="B267">
        <v>1076.3333333333333</v>
      </c>
    </row>
    <row r="268" spans="1:2" x14ac:dyDescent="0.3">
      <c r="A268" s="1">
        <v>45193</v>
      </c>
      <c r="B268">
        <v>1050.4000000000001</v>
      </c>
    </row>
    <row r="269" spans="1:2" x14ac:dyDescent="0.3">
      <c r="A269" s="1">
        <v>45194</v>
      </c>
      <c r="B269">
        <v>1052.5</v>
      </c>
    </row>
    <row r="270" spans="1:2" x14ac:dyDescent="0.3">
      <c r="A270" s="1">
        <v>45195</v>
      </c>
      <c r="B270">
        <v>1038</v>
      </c>
    </row>
    <row r="271" spans="1:2" x14ac:dyDescent="0.3">
      <c r="A271" s="1">
        <v>45196</v>
      </c>
      <c r="B271">
        <v>1064.3333333333333</v>
      </c>
    </row>
    <row r="272" spans="1:2" x14ac:dyDescent="0.3">
      <c r="A272" s="1">
        <v>45197</v>
      </c>
      <c r="B272">
        <v>1026.5</v>
      </c>
    </row>
    <row r="273" spans="1:2" x14ac:dyDescent="0.3">
      <c r="A273" s="1">
        <v>45198</v>
      </c>
      <c r="B273">
        <v>1036</v>
      </c>
    </row>
    <row r="274" spans="1:2" x14ac:dyDescent="0.3">
      <c r="A274" s="1">
        <v>45199</v>
      </c>
      <c r="B274">
        <v>1051.6666666666667</v>
      </c>
    </row>
    <row r="275" spans="1:2" x14ac:dyDescent="0.3">
      <c r="A275" s="1">
        <v>45200</v>
      </c>
      <c r="B275">
        <v>1087</v>
      </c>
    </row>
    <row r="276" spans="1:2" x14ac:dyDescent="0.3">
      <c r="A276" s="1">
        <v>45201</v>
      </c>
      <c r="B276">
        <v>1073</v>
      </c>
    </row>
    <row r="277" spans="1:2" x14ac:dyDescent="0.3">
      <c r="A277" s="1">
        <v>45202</v>
      </c>
      <c r="B277">
        <v>1078.25</v>
      </c>
    </row>
    <row r="278" spans="1:2" x14ac:dyDescent="0.3">
      <c r="A278" s="1">
        <v>45203</v>
      </c>
      <c r="B278">
        <v>1083.5</v>
      </c>
    </row>
    <row r="279" spans="1:2" x14ac:dyDescent="0.3">
      <c r="A279" s="1">
        <v>45204</v>
      </c>
      <c r="B279">
        <v>1064.5</v>
      </c>
    </row>
    <row r="280" spans="1:2" x14ac:dyDescent="0.3">
      <c r="A280" s="1">
        <v>45205</v>
      </c>
      <c r="B280">
        <v>1060</v>
      </c>
    </row>
    <row r="281" spans="1:2" x14ac:dyDescent="0.3">
      <c r="A281" s="1">
        <v>45206</v>
      </c>
      <c r="B281">
        <v>1055.5</v>
      </c>
    </row>
    <row r="282" spans="1:2" x14ac:dyDescent="0.3">
      <c r="A282" s="1">
        <v>45207</v>
      </c>
      <c r="B282">
        <v>1016.5</v>
      </c>
    </row>
    <row r="283" spans="1:2" x14ac:dyDescent="0.3">
      <c r="A283" s="1">
        <v>45208</v>
      </c>
      <c r="B283">
        <v>1071</v>
      </c>
    </row>
    <row r="284" spans="1:2" x14ac:dyDescent="0.3">
      <c r="A284" s="1">
        <v>45209</v>
      </c>
      <c r="B284">
        <v>1001</v>
      </c>
    </row>
    <row r="285" spans="1:2" x14ac:dyDescent="0.3">
      <c r="A285" s="1">
        <v>45210</v>
      </c>
      <c r="B285">
        <v>1019</v>
      </c>
    </row>
    <row r="286" spans="1:2" x14ac:dyDescent="0.3">
      <c r="A286" s="1">
        <v>45211</v>
      </c>
      <c r="B286">
        <v>1046.5</v>
      </c>
    </row>
    <row r="287" spans="1:2" x14ac:dyDescent="0.3">
      <c r="A287" s="1">
        <v>45212</v>
      </c>
      <c r="B287">
        <v>1053.5</v>
      </c>
    </row>
    <row r="288" spans="1:2" x14ac:dyDescent="0.3">
      <c r="A288" s="1">
        <v>45213</v>
      </c>
      <c r="B288">
        <v>1039</v>
      </c>
    </row>
    <row r="289" spans="1:2" x14ac:dyDescent="0.3">
      <c r="A289" s="1">
        <v>45214</v>
      </c>
      <c r="B289">
        <v>1057.7142857142858</v>
      </c>
    </row>
    <row r="290" spans="1:2" x14ac:dyDescent="0.3">
      <c r="A290" s="1">
        <v>45215</v>
      </c>
      <c r="B290">
        <v>1044.8571428571429</v>
      </c>
    </row>
    <row r="291" spans="1:2" x14ac:dyDescent="0.3">
      <c r="A291" s="1">
        <v>45216</v>
      </c>
      <c r="B291">
        <v>1064.1785714285716</v>
      </c>
    </row>
    <row r="292" spans="1:2" x14ac:dyDescent="0.3">
      <c r="A292" s="1">
        <v>45217</v>
      </c>
      <c r="B292">
        <v>1083.5</v>
      </c>
    </row>
    <row r="293" spans="1:2" x14ac:dyDescent="0.3">
      <c r="A293" s="1">
        <v>45218</v>
      </c>
      <c r="B293">
        <v>1069</v>
      </c>
    </row>
    <row r="294" spans="1:2" x14ac:dyDescent="0.3">
      <c r="A294" s="1">
        <v>45219</v>
      </c>
      <c r="B294">
        <v>1052.875</v>
      </c>
    </row>
    <row r="295" spans="1:2" x14ac:dyDescent="0.3">
      <c r="A295" s="1">
        <v>45220</v>
      </c>
      <c r="B295">
        <v>1043</v>
      </c>
    </row>
    <row r="296" spans="1:2" x14ac:dyDescent="0.3">
      <c r="A296" s="1">
        <v>45221</v>
      </c>
      <c r="B296">
        <v>1057</v>
      </c>
    </row>
    <row r="297" spans="1:2" x14ac:dyDescent="0.3">
      <c r="A297" s="1">
        <v>45222</v>
      </c>
      <c r="B297">
        <v>1052.8</v>
      </c>
    </row>
    <row r="298" spans="1:2" x14ac:dyDescent="0.3">
      <c r="A298" s="1">
        <v>45223</v>
      </c>
      <c r="B298">
        <v>1056.5</v>
      </c>
    </row>
    <row r="299" spans="1:2" x14ac:dyDescent="0.3">
      <c r="A299" s="1">
        <v>45224</v>
      </c>
      <c r="B299">
        <v>1076.75</v>
      </c>
    </row>
    <row r="300" spans="1:2" x14ac:dyDescent="0.3">
      <c r="A300" s="1">
        <v>45225</v>
      </c>
      <c r="B300">
        <v>1097</v>
      </c>
    </row>
    <row r="301" spans="1:2" x14ac:dyDescent="0.3">
      <c r="A301" s="1">
        <v>45226</v>
      </c>
      <c r="B301">
        <v>1088</v>
      </c>
    </row>
    <row r="302" spans="1:2" x14ac:dyDescent="0.3">
      <c r="A302" s="1">
        <v>45227</v>
      </c>
      <c r="B302">
        <v>1071</v>
      </c>
    </row>
    <row r="303" spans="1:2" x14ac:dyDescent="0.3">
      <c r="A303" s="1">
        <v>45228</v>
      </c>
      <c r="B303">
        <v>1033.5999999999999</v>
      </c>
    </row>
    <row r="304" spans="1:2" x14ac:dyDescent="0.3">
      <c r="A304" s="1">
        <v>45229</v>
      </c>
      <c r="B304">
        <v>1059.8</v>
      </c>
    </row>
    <row r="305" spans="1:2" x14ac:dyDescent="0.3">
      <c r="A305" s="1">
        <v>45230</v>
      </c>
      <c r="B305">
        <v>1033</v>
      </c>
    </row>
    <row r="306" spans="1:2" x14ac:dyDescent="0.3">
      <c r="A306" s="1">
        <v>45231</v>
      </c>
      <c r="B306">
        <v>1052.3333333333333</v>
      </c>
    </row>
    <row r="307" spans="1:2" x14ac:dyDescent="0.3">
      <c r="A307" s="1">
        <v>45232</v>
      </c>
      <c r="B307">
        <v>1069</v>
      </c>
    </row>
    <row r="308" spans="1:2" x14ac:dyDescent="0.3">
      <c r="A308" s="1">
        <v>45233</v>
      </c>
      <c r="B308">
        <v>1043</v>
      </c>
    </row>
    <row r="309" spans="1:2" x14ac:dyDescent="0.3">
      <c r="A309" s="1">
        <v>45234</v>
      </c>
      <c r="B309">
        <v>1060</v>
      </c>
    </row>
    <row r="310" spans="1:2" x14ac:dyDescent="0.3">
      <c r="A310" s="1">
        <v>45235</v>
      </c>
      <c r="B310">
        <v>1077</v>
      </c>
    </row>
    <row r="311" spans="1:2" x14ac:dyDescent="0.3">
      <c r="A311" s="1">
        <v>45236</v>
      </c>
      <c r="B311">
        <v>1056.75</v>
      </c>
    </row>
    <row r="312" spans="1:2" x14ac:dyDescent="0.3">
      <c r="A312" s="1">
        <v>45237</v>
      </c>
      <c r="B312">
        <v>1084.75</v>
      </c>
    </row>
    <row r="313" spans="1:2" x14ac:dyDescent="0.3">
      <c r="A313" s="1">
        <v>45238</v>
      </c>
      <c r="B313">
        <v>1055.5</v>
      </c>
    </row>
    <row r="314" spans="1:2" x14ac:dyDescent="0.3">
      <c r="A314" s="1">
        <v>45239</v>
      </c>
      <c r="B314">
        <v>1026.5999999999999</v>
      </c>
    </row>
    <row r="315" spans="1:2" x14ac:dyDescent="0.3">
      <c r="A315" s="1">
        <v>45240</v>
      </c>
      <c r="B315">
        <v>1054.5</v>
      </c>
    </row>
    <row r="316" spans="1:2" x14ac:dyDescent="0.3">
      <c r="A316" s="1">
        <v>45241</v>
      </c>
      <c r="B316">
        <v>1052</v>
      </c>
    </row>
    <row r="317" spans="1:2" x14ac:dyDescent="0.3">
      <c r="A317" s="1">
        <v>45242</v>
      </c>
      <c r="B317">
        <v>1034.5</v>
      </c>
    </row>
    <row r="318" spans="1:2" x14ac:dyDescent="0.3">
      <c r="A318" s="1">
        <v>45243</v>
      </c>
      <c r="B318">
        <v>1050</v>
      </c>
    </row>
    <row r="319" spans="1:2" x14ac:dyDescent="0.3">
      <c r="A319" s="1">
        <v>45244</v>
      </c>
      <c r="B319">
        <v>1049.125</v>
      </c>
    </row>
    <row r="320" spans="1:2" x14ac:dyDescent="0.3">
      <c r="A320" s="1">
        <v>45245</v>
      </c>
      <c r="B320">
        <v>1056.8333333333333</v>
      </c>
    </row>
    <row r="321" spans="1:2" x14ac:dyDescent="0.3">
      <c r="A321" s="1">
        <v>45246</v>
      </c>
      <c r="B321">
        <v>1057.6666666666667</v>
      </c>
    </row>
    <row r="322" spans="1:2" x14ac:dyDescent="0.3">
      <c r="A322" s="1">
        <v>45247</v>
      </c>
      <c r="B322">
        <v>1081</v>
      </c>
    </row>
    <row r="323" spans="1:2" x14ac:dyDescent="0.3">
      <c r="A323" s="1">
        <v>45248</v>
      </c>
      <c r="B323">
        <v>1033</v>
      </c>
    </row>
    <row r="324" spans="1:2" x14ac:dyDescent="0.3">
      <c r="A324" s="1">
        <v>45249</v>
      </c>
      <c r="B324">
        <v>1039.3333333333333</v>
      </c>
    </row>
    <row r="325" spans="1:2" x14ac:dyDescent="0.3">
      <c r="A325" s="1">
        <v>45250</v>
      </c>
      <c r="B325">
        <v>1050</v>
      </c>
    </row>
    <row r="326" spans="1:2" x14ac:dyDescent="0.3">
      <c r="A326" s="1">
        <v>45251</v>
      </c>
      <c r="B326">
        <v>1052.5</v>
      </c>
    </row>
    <row r="327" spans="1:2" x14ac:dyDescent="0.3">
      <c r="A327" s="1">
        <v>45252</v>
      </c>
      <c r="B327">
        <v>1055</v>
      </c>
    </row>
    <row r="328" spans="1:2" x14ac:dyDescent="0.3">
      <c r="A328" s="1">
        <v>45253</v>
      </c>
      <c r="B328">
        <v>1016</v>
      </c>
    </row>
    <row r="329" spans="1:2" x14ac:dyDescent="0.3">
      <c r="A329" s="1">
        <v>45254</v>
      </c>
      <c r="B329">
        <v>1039.7142857142858</v>
      </c>
    </row>
    <row r="330" spans="1:2" x14ac:dyDescent="0.3">
      <c r="A330" s="1">
        <v>45255</v>
      </c>
      <c r="B330">
        <v>1084.5</v>
      </c>
    </row>
    <row r="331" spans="1:2" x14ac:dyDescent="0.3">
      <c r="A331" s="1">
        <v>45256</v>
      </c>
      <c r="B331">
        <v>1057.8</v>
      </c>
    </row>
    <row r="332" spans="1:2" x14ac:dyDescent="0.3">
      <c r="A332" s="1">
        <v>45257</v>
      </c>
      <c r="B332">
        <v>1021</v>
      </c>
    </row>
    <row r="333" spans="1:2" x14ac:dyDescent="0.3">
      <c r="A333" s="1">
        <v>45258</v>
      </c>
      <c r="B333">
        <v>1046</v>
      </c>
    </row>
    <row r="334" spans="1:2" x14ac:dyDescent="0.3">
      <c r="A334" s="1">
        <v>45259</v>
      </c>
      <c r="B334">
        <v>1044</v>
      </c>
    </row>
    <row r="335" spans="1:2" x14ac:dyDescent="0.3">
      <c r="A335" s="1">
        <v>45260</v>
      </c>
      <c r="B335">
        <v>1082</v>
      </c>
    </row>
    <row r="336" spans="1:2" x14ac:dyDescent="0.3">
      <c r="A336" s="1">
        <v>45261</v>
      </c>
      <c r="B336">
        <v>1081</v>
      </c>
    </row>
    <row r="337" spans="1:2" x14ac:dyDescent="0.3">
      <c r="A337" s="1">
        <v>45262</v>
      </c>
      <c r="B337">
        <v>1077</v>
      </c>
    </row>
    <row r="338" spans="1:2" x14ac:dyDescent="0.3">
      <c r="A338" s="1">
        <v>45263</v>
      </c>
      <c r="B338">
        <v>1057.3333333333333</v>
      </c>
    </row>
    <row r="339" spans="1:2" x14ac:dyDescent="0.3">
      <c r="A339" s="1">
        <v>45264</v>
      </c>
      <c r="B339">
        <v>1038.5</v>
      </c>
    </row>
    <row r="340" spans="1:2" x14ac:dyDescent="0.3">
      <c r="A340" s="1">
        <v>45265</v>
      </c>
      <c r="B340">
        <v>1051</v>
      </c>
    </row>
    <row r="341" spans="1:2" x14ac:dyDescent="0.3">
      <c r="A341" s="1">
        <v>45266</v>
      </c>
      <c r="B341">
        <v>1079</v>
      </c>
    </row>
    <row r="342" spans="1:2" x14ac:dyDescent="0.3">
      <c r="A342" s="1">
        <v>45267</v>
      </c>
      <c r="B342">
        <v>1099</v>
      </c>
    </row>
    <row r="343" spans="1:2" x14ac:dyDescent="0.3">
      <c r="A343" s="1">
        <v>45268</v>
      </c>
      <c r="B343">
        <v>1044.6666666666667</v>
      </c>
    </row>
    <row r="344" spans="1:2" x14ac:dyDescent="0.3">
      <c r="A344" s="1">
        <v>45269</v>
      </c>
      <c r="B344">
        <v>1047.6333333333332</v>
      </c>
    </row>
    <row r="345" spans="1:2" x14ac:dyDescent="0.3">
      <c r="A345" s="1">
        <v>45270</v>
      </c>
      <c r="B345">
        <v>1050.5999999999999</v>
      </c>
    </row>
    <row r="346" spans="1:2" x14ac:dyDescent="0.3">
      <c r="A346" s="1">
        <v>45271</v>
      </c>
      <c r="B346">
        <v>1045</v>
      </c>
    </row>
    <row r="347" spans="1:2" x14ac:dyDescent="0.3">
      <c r="A347" s="1">
        <v>45272</v>
      </c>
      <c r="B347">
        <v>1052</v>
      </c>
    </row>
    <row r="348" spans="1:2" x14ac:dyDescent="0.3">
      <c r="A348" s="1">
        <v>45273</v>
      </c>
      <c r="B348">
        <v>1081</v>
      </c>
    </row>
    <row r="349" spans="1:2" x14ac:dyDescent="0.3">
      <c r="A349" s="1">
        <v>45274</v>
      </c>
      <c r="B349">
        <v>1070</v>
      </c>
    </row>
    <row r="350" spans="1:2" x14ac:dyDescent="0.3">
      <c r="A350" s="1">
        <v>45275</v>
      </c>
      <c r="B350">
        <v>1042.6666666666667</v>
      </c>
    </row>
    <row r="351" spans="1:2" x14ac:dyDescent="0.3">
      <c r="A351" s="1">
        <v>45276</v>
      </c>
      <c r="B351">
        <v>1070</v>
      </c>
    </row>
    <row r="352" spans="1:2" x14ac:dyDescent="0.3">
      <c r="A352" s="1">
        <v>45277</v>
      </c>
      <c r="B352">
        <v>1056.75</v>
      </c>
    </row>
    <row r="353" spans="1:5" x14ac:dyDescent="0.3">
      <c r="A353" s="1">
        <v>45278</v>
      </c>
      <c r="B353">
        <v>1043.5</v>
      </c>
    </row>
    <row r="354" spans="1:5" x14ac:dyDescent="0.3">
      <c r="A354" s="1">
        <v>45279</v>
      </c>
      <c r="B354">
        <v>1057.4000000000001</v>
      </c>
    </row>
    <row r="355" spans="1:5" x14ac:dyDescent="0.3">
      <c r="A355" s="1">
        <v>45280</v>
      </c>
      <c r="B355">
        <v>1058.75</v>
      </c>
    </row>
    <row r="356" spans="1:5" x14ac:dyDescent="0.3">
      <c r="A356" s="1">
        <v>45281</v>
      </c>
      <c r="B356">
        <v>1053</v>
      </c>
    </row>
    <row r="357" spans="1:5" x14ac:dyDescent="0.3">
      <c r="A357" s="1">
        <v>45282</v>
      </c>
      <c r="B357">
        <v>1032.5</v>
      </c>
    </row>
    <row r="358" spans="1:5" x14ac:dyDescent="0.3">
      <c r="A358" s="1">
        <v>45283</v>
      </c>
      <c r="B358">
        <v>1020</v>
      </c>
    </row>
    <row r="359" spans="1:5" x14ac:dyDescent="0.3">
      <c r="A359" s="1">
        <v>45284</v>
      </c>
      <c r="B359">
        <v>1030.7</v>
      </c>
    </row>
    <row r="360" spans="1:5" x14ac:dyDescent="0.3">
      <c r="A360" s="1">
        <v>45285</v>
      </c>
      <c r="B360">
        <v>1041.4000000000001</v>
      </c>
    </row>
    <row r="361" spans="1:5" x14ac:dyDescent="0.3">
      <c r="A361" s="1">
        <v>45286</v>
      </c>
      <c r="B361">
        <v>1056.75</v>
      </c>
    </row>
    <row r="362" spans="1:5" x14ac:dyDescent="0.3">
      <c r="A362" s="1">
        <v>45287</v>
      </c>
      <c r="B362">
        <v>1061.3333333333333</v>
      </c>
    </row>
    <row r="363" spans="1:5" x14ac:dyDescent="0.3">
      <c r="A363" s="1">
        <v>45288</v>
      </c>
      <c r="B363">
        <v>1075.5</v>
      </c>
    </row>
    <row r="364" spans="1:5" x14ac:dyDescent="0.3">
      <c r="A364" s="1">
        <v>45289</v>
      </c>
      <c r="B364">
        <v>1038.25</v>
      </c>
    </row>
    <row r="365" spans="1:5" x14ac:dyDescent="0.3">
      <c r="A365" s="1">
        <v>45290</v>
      </c>
      <c r="B365">
        <v>1048</v>
      </c>
    </row>
    <row r="366" spans="1:5" x14ac:dyDescent="0.3">
      <c r="A366" s="1">
        <v>45291</v>
      </c>
      <c r="B366">
        <v>1066.2</v>
      </c>
    </row>
    <row r="367" spans="1:5" x14ac:dyDescent="0.3">
      <c r="A367" s="1">
        <v>45292</v>
      </c>
      <c r="B367">
        <v>1064.6666666666667</v>
      </c>
      <c r="C367">
        <v>1064.6666666666667</v>
      </c>
      <c r="D367" s="5">
        <v>1064.6666666666667</v>
      </c>
      <c r="E367" s="5">
        <v>1064.6666666666667</v>
      </c>
    </row>
    <row r="368" spans="1:5" x14ac:dyDescent="0.3">
      <c r="A368" s="1">
        <v>45293</v>
      </c>
      <c r="C368">
        <f t="shared" ref="C368:C399" si="0">_xlfn.FORECAST.ETS(A368,$B$2:$B$367,$A$2:$A$367,1,1)</f>
        <v>1064.6849975675475</v>
      </c>
      <c r="D368" s="5">
        <f t="shared" ref="D368:D399" si="1">C368-_xlfn.FORECAST.ETS.CONFINT(A368,$B$2:$B$367,$A$2:$A$367,0.95,1,1)</f>
        <v>1024.6750090974772</v>
      </c>
      <c r="E368" s="5">
        <f t="shared" ref="E368:E399" si="2">C368+_xlfn.FORECAST.ETS.CONFINT(A368,$B$2:$B$367,$A$2:$A$367,0.95,1,1)</f>
        <v>1104.6949860376178</v>
      </c>
    </row>
    <row r="369" spans="1:5" x14ac:dyDescent="0.3">
      <c r="A369" s="1">
        <v>45294</v>
      </c>
      <c r="C369">
        <f t="shared" si="0"/>
        <v>1064.7033284684283</v>
      </c>
      <c r="D369" s="5">
        <f t="shared" si="1"/>
        <v>1024.4897868464379</v>
      </c>
      <c r="E369" s="5">
        <f t="shared" si="2"/>
        <v>1104.9168700904186</v>
      </c>
    </row>
    <row r="370" spans="1:5" x14ac:dyDescent="0.3">
      <c r="A370" s="1">
        <v>45295</v>
      </c>
      <c r="C370">
        <f t="shared" si="0"/>
        <v>1064.721659369309</v>
      </c>
      <c r="D370" s="5">
        <f t="shared" si="1"/>
        <v>1024.301569755047</v>
      </c>
      <c r="E370" s="5">
        <f t="shared" si="2"/>
        <v>1105.141748983571</v>
      </c>
    </row>
    <row r="371" spans="1:5" x14ac:dyDescent="0.3">
      <c r="A371" s="1">
        <v>45296</v>
      </c>
      <c r="C371">
        <f t="shared" si="0"/>
        <v>1064.7399902701895</v>
      </c>
      <c r="D371" s="5">
        <f t="shared" si="1"/>
        <v>1024.1103640979277</v>
      </c>
      <c r="E371" s="5">
        <f t="shared" si="2"/>
        <v>1105.3696164424514</v>
      </c>
    </row>
    <row r="372" spans="1:5" x14ac:dyDescent="0.3">
      <c r="A372" s="1">
        <v>45297</v>
      </c>
      <c r="C372">
        <f t="shared" si="0"/>
        <v>1064.7583211710703</v>
      </c>
      <c r="D372" s="5">
        <f t="shared" si="1"/>
        <v>1023.9161766779094</v>
      </c>
      <c r="E372" s="5">
        <f t="shared" si="2"/>
        <v>1105.600465664231</v>
      </c>
    </row>
    <row r="373" spans="1:5" x14ac:dyDescent="0.3">
      <c r="A373" s="1">
        <v>45298</v>
      </c>
      <c r="C373">
        <f t="shared" si="0"/>
        <v>1064.776652071951</v>
      </c>
      <c r="D373" s="5">
        <f t="shared" si="1"/>
        <v>1023.7190148076029</v>
      </c>
      <c r="E373" s="5">
        <f t="shared" si="2"/>
        <v>1105.8342893362992</v>
      </c>
    </row>
    <row r="374" spans="1:5" x14ac:dyDescent="0.3">
      <c r="A374" s="1">
        <v>45299</v>
      </c>
      <c r="C374">
        <f t="shared" si="0"/>
        <v>1064.7949829728318</v>
      </c>
      <c r="D374" s="5">
        <f t="shared" si="1"/>
        <v>1023.5188862910018</v>
      </c>
      <c r="E374" s="5">
        <f t="shared" si="2"/>
        <v>1106.0710796546618</v>
      </c>
    </row>
    <row r="375" spans="1:5" x14ac:dyDescent="0.3">
      <c r="A375" s="1">
        <v>45300</v>
      </c>
      <c r="C375">
        <f t="shared" si="0"/>
        <v>1064.8133138737126</v>
      </c>
      <c r="D375" s="5">
        <f t="shared" si="1"/>
        <v>1023.3157994051381</v>
      </c>
      <c r="E375" s="5">
        <f t="shared" si="2"/>
        <v>1106.3108283422871</v>
      </c>
    </row>
    <row r="376" spans="1:5" x14ac:dyDescent="0.3">
      <c r="A376" s="1">
        <v>45301</v>
      </c>
      <c r="C376">
        <f t="shared" si="0"/>
        <v>1064.8316447745933</v>
      </c>
      <c r="D376" s="5">
        <f t="shared" si="1"/>
        <v>1023.1097628818209</v>
      </c>
      <c r="E376" s="5">
        <f t="shared" si="2"/>
        <v>1106.5535266673658</v>
      </c>
    </row>
    <row r="377" spans="1:5" x14ac:dyDescent="0.3">
      <c r="A377" s="1">
        <v>45302</v>
      </c>
      <c r="C377">
        <f t="shared" si="0"/>
        <v>1064.8499756754741</v>
      </c>
      <c r="D377" s="5">
        <f t="shared" si="1"/>
        <v>1022.9007858894861</v>
      </c>
      <c r="E377" s="5">
        <f t="shared" si="2"/>
        <v>1106.7991654614621</v>
      </c>
    </row>
    <row r="378" spans="1:5" x14ac:dyDescent="0.3">
      <c r="A378" s="1">
        <v>45303</v>
      </c>
      <c r="C378">
        <f t="shared" si="0"/>
        <v>1064.8683065763548</v>
      </c>
      <c r="D378" s="5">
        <f t="shared" si="1"/>
        <v>1022.688878015182</v>
      </c>
      <c r="E378" s="5">
        <f t="shared" si="2"/>
        <v>1107.0477351375278</v>
      </c>
    </row>
    <row r="379" spans="1:5" x14ac:dyDescent="0.3">
      <c r="A379" s="1">
        <v>45304</v>
      </c>
      <c r="C379">
        <f t="shared" si="0"/>
        <v>1064.8866374772354</v>
      </c>
      <c r="D379" s="5">
        <f t="shared" si="1"/>
        <v>1022.4740492467167</v>
      </c>
      <c r="E379" s="5">
        <f t="shared" si="2"/>
        <v>1107.299225707754</v>
      </c>
    </row>
    <row r="380" spans="1:5" x14ac:dyDescent="0.3">
      <c r="A380" s="1">
        <v>45305</v>
      </c>
      <c r="C380">
        <f t="shared" si="0"/>
        <v>1064.9049683781161</v>
      </c>
      <c r="D380" s="5">
        <f t="shared" si="1"/>
        <v>1022.2563099549897</v>
      </c>
      <c r="E380" s="5">
        <f t="shared" si="2"/>
        <v>1107.5536268012427</v>
      </c>
    </row>
    <row r="381" spans="1:5" x14ac:dyDescent="0.3">
      <c r="A381" s="1">
        <v>45306</v>
      </c>
      <c r="C381">
        <f t="shared" si="0"/>
        <v>1064.9232992789969</v>
      </c>
      <c r="D381" s="5">
        <f t="shared" si="1"/>
        <v>1022.0356708765261</v>
      </c>
      <c r="E381" s="5">
        <f t="shared" si="2"/>
        <v>1107.8109276814675</v>
      </c>
    </row>
    <row r="382" spans="1:5" x14ac:dyDescent="0.3">
      <c r="A382" s="1">
        <v>45307</v>
      </c>
      <c r="C382">
        <f t="shared" si="0"/>
        <v>1064.9416301798776</v>
      </c>
      <c r="D382" s="5">
        <f t="shared" si="1"/>
        <v>1021.8121430962409</v>
      </c>
      <c r="E382" s="5">
        <f t="shared" si="2"/>
        <v>1108.0711172635145</v>
      </c>
    </row>
    <row r="383" spans="1:5" x14ac:dyDescent="0.3">
      <c r="A383" s="1">
        <v>45308</v>
      </c>
      <c r="C383">
        <f t="shared" si="0"/>
        <v>1064.9599610807584</v>
      </c>
      <c r="D383" s="5">
        <f t="shared" si="1"/>
        <v>1021.5857380304445</v>
      </c>
      <c r="E383" s="5">
        <f t="shared" si="2"/>
        <v>1108.3341841310721</v>
      </c>
    </row>
    <row r="384" spans="1:5" x14ac:dyDescent="0.3">
      <c r="A384" s="1">
        <v>45309</v>
      </c>
      <c r="C384">
        <f t="shared" si="0"/>
        <v>1064.9782919816391</v>
      </c>
      <c r="D384" s="5">
        <f t="shared" si="1"/>
        <v>1021.3564674101115</v>
      </c>
      <c r="E384" s="5">
        <f t="shared" si="2"/>
        <v>1108.6001165531668</v>
      </c>
    </row>
    <row r="385" spans="1:5" x14ac:dyDescent="0.3">
      <c r="A385" s="1">
        <v>45310</v>
      </c>
      <c r="C385">
        <f t="shared" si="0"/>
        <v>1064.9966228825199</v>
      </c>
      <c r="D385" s="5">
        <f t="shared" si="1"/>
        <v>1021.124343264426</v>
      </c>
      <c r="E385" s="5">
        <f t="shared" si="2"/>
        <v>1108.8689025006138</v>
      </c>
    </row>
    <row r="386" spans="1:5" x14ac:dyDescent="0.3">
      <c r="A386" s="1">
        <v>45311</v>
      </c>
      <c r="C386">
        <f t="shared" si="0"/>
        <v>1065.0149537834006</v>
      </c>
      <c r="D386" s="5">
        <f t="shared" si="1"/>
        <v>1020.8893779046203</v>
      </c>
      <c r="E386" s="5">
        <f t="shared" si="2"/>
        <v>1109.1405296621808</v>
      </c>
    </row>
    <row r="387" spans="1:5" x14ac:dyDescent="0.3">
      <c r="A387" s="1">
        <v>45312</v>
      </c>
      <c r="C387">
        <f t="shared" si="0"/>
        <v>1065.0332846842812</v>
      </c>
      <c r="D387" s="5">
        <f t="shared" si="1"/>
        <v>1020.6515839081189</v>
      </c>
      <c r="E387" s="5">
        <f t="shared" si="2"/>
        <v>1109.4149854604434</v>
      </c>
    </row>
    <row r="388" spans="1:5" x14ac:dyDescent="0.3">
      <c r="A388" s="1">
        <v>45313</v>
      </c>
      <c r="C388">
        <f t="shared" si="0"/>
        <v>1065.0516155851619</v>
      </c>
      <c r="D388" s="5">
        <f t="shared" si="1"/>
        <v>1020.410974102999</v>
      </c>
      <c r="E388" s="5">
        <f t="shared" si="2"/>
        <v>1109.6922570673248</v>
      </c>
    </row>
    <row r="389" spans="1:5" x14ac:dyDescent="0.3">
      <c r="A389" s="1">
        <v>45314</v>
      </c>
      <c r="C389">
        <f t="shared" si="0"/>
        <v>1065.0699464860427</v>
      </c>
      <c r="D389" s="5">
        <f t="shared" si="1"/>
        <v>1020.1675615527794</v>
      </c>
      <c r="E389" s="5">
        <f t="shared" si="2"/>
        <v>1109.9723314193061</v>
      </c>
    </row>
    <row r="390" spans="1:5" x14ac:dyDescent="0.3">
      <c r="A390" s="1">
        <v>45315</v>
      </c>
      <c r="C390">
        <f t="shared" si="0"/>
        <v>1065.0882773869234</v>
      </c>
      <c r="D390" s="5">
        <f t="shared" si="1"/>
        <v>1019.9213595415467</v>
      </c>
      <c r="E390" s="5">
        <f t="shared" si="2"/>
        <v>1110.2551952323001</v>
      </c>
    </row>
    <row r="391" spans="1:5" x14ac:dyDescent="0.3">
      <c r="A391" s="1">
        <v>45316</v>
      </c>
      <c r="C391">
        <f t="shared" si="0"/>
        <v>1065.1066082878042</v>
      </c>
      <c r="D391" s="5">
        <f t="shared" si="1"/>
        <v>1019.6723815594278</v>
      </c>
      <c r="E391" s="5">
        <f t="shared" si="2"/>
        <v>1110.5408350161806</v>
      </c>
    </row>
    <row r="392" spans="1:5" x14ac:dyDescent="0.3">
      <c r="A392" s="1">
        <v>45317</v>
      </c>
      <c r="C392">
        <f t="shared" si="0"/>
        <v>1065.1249391886849</v>
      </c>
      <c r="D392" s="5">
        <f t="shared" si="1"/>
        <v>1019.4206412884126</v>
      </c>
      <c r="E392" s="5">
        <f t="shared" si="2"/>
        <v>1110.8292370889571</v>
      </c>
    </row>
    <row r="393" spans="1:5" x14ac:dyDescent="0.3">
      <c r="A393" s="1">
        <v>45318</v>
      </c>
      <c r="C393">
        <f t="shared" si="0"/>
        <v>1065.1432700895657</v>
      </c>
      <c r="D393" s="5">
        <f t="shared" si="1"/>
        <v>1019.1661525885379</v>
      </c>
      <c r="E393" s="5">
        <f t="shared" si="2"/>
        <v>1111.1203875905935</v>
      </c>
    </row>
    <row r="394" spans="1:5" x14ac:dyDescent="0.3">
      <c r="A394" s="1">
        <v>45319</v>
      </c>
      <c r="C394">
        <f t="shared" si="0"/>
        <v>1065.1616009904462</v>
      </c>
      <c r="D394" s="5">
        <f t="shared" si="1"/>
        <v>1018.9089294844313</v>
      </c>
      <c r="E394" s="5">
        <f t="shared" si="2"/>
        <v>1111.4142724964613</v>
      </c>
    </row>
    <row r="395" spans="1:5" x14ac:dyDescent="0.3">
      <c r="A395" s="1">
        <v>45320</v>
      </c>
      <c r="C395">
        <f t="shared" si="0"/>
        <v>1065.179931891327</v>
      </c>
      <c r="D395" s="5">
        <f t="shared" si="1"/>
        <v>1018.6489861522255</v>
      </c>
      <c r="E395" s="5">
        <f t="shared" si="2"/>
        <v>1111.7108776304285</v>
      </c>
    </row>
    <row r="396" spans="1:5" x14ac:dyDescent="0.3">
      <c r="A396" s="1">
        <v>45321</v>
      </c>
      <c r="C396">
        <f t="shared" si="0"/>
        <v>1065.1982627922077</v>
      </c>
      <c r="D396" s="5">
        <f t="shared" si="1"/>
        <v>1018.3863369068382</v>
      </c>
      <c r="E396" s="5">
        <f t="shared" si="2"/>
        <v>1112.0101886775772</v>
      </c>
    </row>
    <row r="397" spans="1:5" x14ac:dyDescent="0.3">
      <c r="A397" s="1">
        <v>45322</v>
      </c>
      <c r="C397">
        <f t="shared" si="0"/>
        <v>1065.2165936930885</v>
      </c>
      <c r="D397" s="5">
        <f t="shared" si="1"/>
        <v>1018.1209961896272</v>
      </c>
      <c r="E397" s="5">
        <f t="shared" si="2"/>
        <v>1112.3121911965497</v>
      </c>
    </row>
    <row r="398" spans="1:5" x14ac:dyDescent="0.3">
      <c r="A398" s="1">
        <v>45323</v>
      </c>
      <c r="C398">
        <f t="shared" si="0"/>
        <v>1065.2349245939693</v>
      </c>
      <c r="D398" s="5">
        <f t="shared" si="1"/>
        <v>1017.8529785564153</v>
      </c>
      <c r="E398" s="5">
        <f t="shared" si="2"/>
        <v>1112.6168706315232</v>
      </c>
    </row>
    <row r="399" spans="1:5" x14ac:dyDescent="0.3">
      <c r="A399" s="1">
        <v>45324</v>
      </c>
      <c r="C399">
        <f t="shared" si="0"/>
        <v>1065.25325549485</v>
      </c>
      <c r="D399" s="5">
        <f t="shared" si="1"/>
        <v>1017.5822986658897</v>
      </c>
      <c r="E399" s="5">
        <f t="shared" si="2"/>
        <v>1112.9242123238105</v>
      </c>
    </row>
    <row r="400" spans="1:5" x14ac:dyDescent="0.3">
      <c r="A400" s="1">
        <v>45325</v>
      </c>
      <c r="C400">
        <f t="shared" ref="C400:C431" si="3">_xlfn.FORECAST.ETS(A400,$B$2:$B$367,$A$2:$A$367,1,1)</f>
        <v>1065.2715863957308</v>
      </c>
      <c r="D400" s="5">
        <f t="shared" ref="D400:D431" si="4">C400-_xlfn.FORECAST.ETS.CONFINT(A400,$B$2:$B$367,$A$2:$A$367,0.95,1,1)</f>
        <v>1017.3089712683716</v>
      </c>
      <c r="E400" s="5">
        <f t="shared" ref="E400:E431" si="5">C400+_xlfn.FORECAST.ETS.CONFINT(A400,$B$2:$B$367,$A$2:$A$367,0.95,1,1)</f>
        <v>1113.23420152309</v>
      </c>
    </row>
    <row r="401" spans="1:5" x14ac:dyDescent="0.3">
      <c r="A401" s="1">
        <v>45326</v>
      </c>
      <c r="C401">
        <f t="shared" si="3"/>
        <v>1065.2899172966115</v>
      </c>
      <c r="D401" s="5">
        <f t="shared" si="4"/>
        <v>1017.0330111949582</v>
      </c>
      <c r="E401" s="5">
        <f t="shared" si="5"/>
        <v>1113.5468233982647</v>
      </c>
    </row>
    <row r="402" spans="1:5" x14ac:dyDescent="0.3">
      <c r="A402" s="1">
        <v>45327</v>
      </c>
      <c r="C402">
        <f t="shared" si="3"/>
        <v>1065.308248197492</v>
      </c>
      <c r="D402" s="5">
        <f t="shared" si="4"/>
        <v>1016.7544333470323</v>
      </c>
      <c r="E402" s="5">
        <f t="shared" si="5"/>
        <v>1113.8620630479518</v>
      </c>
    </row>
    <row r="403" spans="1:5" x14ac:dyDescent="0.3">
      <c r="A403" s="1">
        <v>45328</v>
      </c>
      <c r="C403">
        <f t="shared" si="3"/>
        <v>1065.3265790983728</v>
      </c>
      <c r="D403" s="5">
        <f t="shared" si="4"/>
        <v>1016.4732526861377</v>
      </c>
      <c r="E403" s="5">
        <f t="shared" si="5"/>
        <v>1114.1799055106078</v>
      </c>
    </row>
    <row r="404" spans="1:5" x14ac:dyDescent="0.3">
      <c r="A404" s="1">
        <v>45329</v>
      </c>
      <c r="C404">
        <f t="shared" si="3"/>
        <v>1065.3449099992536</v>
      </c>
      <c r="D404" s="5">
        <f t="shared" si="4"/>
        <v>1016.1894842242172</v>
      </c>
      <c r="E404" s="5">
        <f t="shared" si="5"/>
        <v>1114.5003357742901</v>
      </c>
    </row>
    <row r="405" spans="1:5" x14ac:dyDescent="0.3">
      <c r="A405" s="1">
        <v>45330</v>
      </c>
      <c r="C405">
        <f t="shared" si="3"/>
        <v>1065.3632409001343</v>
      </c>
      <c r="D405" s="5">
        <f t="shared" si="4"/>
        <v>1015.9031430142094</v>
      </c>
      <c r="E405" s="5">
        <f t="shared" si="5"/>
        <v>1114.8233387860591</v>
      </c>
    </row>
    <row r="406" spans="1:5" x14ac:dyDescent="0.3">
      <c r="A406" s="1">
        <v>45331</v>
      </c>
      <c r="C406">
        <f t="shared" si="3"/>
        <v>1065.3815718010151</v>
      </c>
      <c r="D406" s="5">
        <f t="shared" si="4"/>
        <v>1015.614244141001</v>
      </c>
      <c r="E406" s="5">
        <f t="shared" si="5"/>
        <v>1115.1488994610293</v>
      </c>
    </row>
    <row r="407" spans="1:5" x14ac:dyDescent="0.3">
      <c r="A407" s="1">
        <v>45332</v>
      </c>
      <c r="C407">
        <f t="shared" si="3"/>
        <v>1065.3999027018958</v>
      </c>
      <c r="D407" s="5">
        <f t="shared" si="4"/>
        <v>1015.3228027127265</v>
      </c>
      <c r="E407" s="5">
        <f t="shared" si="5"/>
        <v>1115.4770026910653</v>
      </c>
    </row>
    <row r="408" spans="1:5" x14ac:dyDescent="0.3">
      <c r="A408" s="1">
        <v>45333</v>
      </c>
      <c r="C408">
        <f t="shared" si="3"/>
        <v>1065.4182336027766</v>
      </c>
      <c r="D408" s="5">
        <f t="shared" si="4"/>
        <v>1015.0288338524142</v>
      </c>
      <c r="E408" s="5">
        <f t="shared" si="5"/>
        <v>1115.807633353139</v>
      </c>
    </row>
    <row r="409" spans="1:5" x14ac:dyDescent="0.3">
      <c r="A409" s="1">
        <v>45334</v>
      </c>
      <c r="C409">
        <f t="shared" si="3"/>
        <v>1065.4365645036573</v>
      </c>
      <c r="D409" s="5">
        <f t="shared" si="4"/>
        <v>1014.7323526899705</v>
      </c>
      <c r="E409" s="5">
        <f t="shared" si="5"/>
        <v>1116.1407763173443</v>
      </c>
    </row>
    <row r="410" spans="1:5" x14ac:dyDescent="0.3">
      <c r="A410" s="1">
        <v>45335</v>
      </c>
      <c r="C410">
        <f t="shared" si="3"/>
        <v>1065.4548954045379</v>
      </c>
      <c r="D410" s="5">
        <f t="shared" si="4"/>
        <v>1014.4333743544966</v>
      </c>
      <c r="E410" s="5">
        <f t="shared" si="5"/>
        <v>1116.4764164545793</v>
      </c>
    </row>
    <row r="411" spans="1:5" x14ac:dyDescent="0.3">
      <c r="A411" s="1">
        <v>45336</v>
      </c>
      <c r="C411">
        <f t="shared" si="3"/>
        <v>1065.4732263054186</v>
      </c>
      <c r="D411" s="5">
        <f t="shared" si="4"/>
        <v>1014.1319139669328</v>
      </c>
      <c r="E411" s="5">
        <f t="shared" si="5"/>
        <v>1116.8145386439044</v>
      </c>
    </row>
    <row r="412" spans="1:5" x14ac:dyDescent="0.3">
      <c r="A412" s="1">
        <v>45337</v>
      </c>
      <c r="C412">
        <f t="shared" si="3"/>
        <v>1065.4915572062994</v>
      </c>
      <c r="D412" s="5">
        <f t="shared" si="4"/>
        <v>1013.8279866330221</v>
      </c>
      <c r="E412" s="5">
        <f t="shared" si="5"/>
        <v>1117.1551277795768</v>
      </c>
    </row>
    <row r="413" spans="1:5" x14ac:dyDescent="0.3">
      <c r="A413" s="1">
        <v>45338</v>
      </c>
      <c r="C413">
        <f t="shared" si="3"/>
        <v>1065.5098881071801</v>
      </c>
      <c r="D413" s="5">
        <f t="shared" si="4"/>
        <v>1013.5216074365875</v>
      </c>
      <c r="E413" s="5">
        <f t="shared" si="5"/>
        <v>1117.4981687777729</v>
      </c>
    </row>
    <row r="414" spans="1:5" x14ac:dyDescent="0.3">
      <c r="A414" s="1">
        <v>45339</v>
      </c>
      <c r="C414">
        <f t="shared" si="3"/>
        <v>1065.5282190080609</v>
      </c>
      <c r="D414" s="5">
        <f t="shared" si="4"/>
        <v>1013.2127914331165</v>
      </c>
      <c r="E414" s="5">
        <f t="shared" si="5"/>
        <v>1117.8436465830052</v>
      </c>
    </row>
    <row r="415" spans="1:5" x14ac:dyDescent="0.3">
      <c r="A415" s="1">
        <v>45340</v>
      </c>
      <c r="C415">
        <f t="shared" si="3"/>
        <v>1065.5465499089416</v>
      </c>
      <c r="D415" s="5">
        <f t="shared" si="4"/>
        <v>1012.9015536436445</v>
      </c>
      <c r="E415" s="5">
        <f t="shared" si="5"/>
        <v>1118.1915461742387</v>
      </c>
    </row>
    <row r="416" spans="1:5" x14ac:dyDescent="0.3">
      <c r="A416" s="1">
        <v>45341</v>
      </c>
      <c r="C416">
        <f t="shared" si="3"/>
        <v>1065.5648808098224</v>
      </c>
      <c r="D416" s="5">
        <f t="shared" si="4"/>
        <v>1012.5879090489302</v>
      </c>
      <c r="E416" s="5">
        <f t="shared" si="5"/>
        <v>1118.5418525707146</v>
      </c>
    </row>
    <row r="417" spans="1:5" x14ac:dyDescent="0.3">
      <c r="A417" s="1">
        <v>45342</v>
      </c>
      <c r="C417">
        <f t="shared" si="3"/>
        <v>1065.5832117107029</v>
      </c>
      <c r="D417" s="5">
        <f t="shared" si="4"/>
        <v>1012.271872583916</v>
      </c>
      <c r="E417" s="5">
        <f t="shared" si="5"/>
        <v>1118.8945508374898</v>
      </c>
    </row>
    <row r="418" spans="1:5" x14ac:dyDescent="0.3">
      <c r="A418" s="1">
        <v>45343</v>
      </c>
      <c r="C418">
        <f t="shared" si="3"/>
        <v>1065.6015426115837</v>
      </c>
      <c r="D418" s="5">
        <f t="shared" si="4"/>
        <v>1011.9534591324675</v>
      </c>
      <c r="E418" s="5">
        <f t="shared" si="5"/>
        <v>1119.2496260906998</v>
      </c>
    </row>
    <row r="419" spans="1:5" x14ac:dyDescent="0.3">
      <c r="A419" s="1">
        <v>45344</v>
      </c>
      <c r="C419">
        <f t="shared" si="3"/>
        <v>1065.6198735124644</v>
      </c>
      <c r="D419" s="5">
        <f t="shared" si="4"/>
        <v>1011.6326835223792</v>
      </c>
      <c r="E419" s="5">
        <f t="shared" si="5"/>
        <v>1119.6070635025496</v>
      </c>
    </row>
    <row r="420" spans="1:5" x14ac:dyDescent="0.3">
      <c r="A420" s="1">
        <v>45345</v>
      </c>
      <c r="C420">
        <f t="shared" si="3"/>
        <v>1065.6382044133452</v>
      </c>
      <c r="D420" s="5">
        <f t="shared" si="4"/>
        <v>1011.3095605206469</v>
      </c>
      <c r="E420" s="5">
        <f t="shared" si="5"/>
        <v>1119.9668483060436</v>
      </c>
    </row>
    <row r="421" spans="1:5" x14ac:dyDescent="0.3">
      <c r="A421" s="1">
        <v>45346</v>
      </c>
      <c r="C421">
        <f t="shared" si="3"/>
        <v>1065.6565353142259</v>
      </c>
      <c r="D421" s="5">
        <f t="shared" si="4"/>
        <v>1010.9841048289915</v>
      </c>
      <c r="E421" s="5">
        <f t="shared" si="5"/>
        <v>1120.3289657994605</v>
      </c>
    </row>
    <row r="422" spans="1:5" x14ac:dyDescent="0.3">
      <c r="A422" s="1">
        <v>45347</v>
      </c>
      <c r="C422">
        <f t="shared" si="3"/>
        <v>1065.6748662151067</v>
      </c>
      <c r="D422" s="5">
        <f t="shared" si="4"/>
        <v>1010.6563310796323</v>
      </c>
      <c r="E422" s="5">
        <f t="shared" si="5"/>
        <v>1120.6934013505811</v>
      </c>
    </row>
    <row r="423" spans="1:5" x14ac:dyDescent="0.3">
      <c r="A423" s="1">
        <v>45348</v>
      </c>
      <c r="C423">
        <f t="shared" si="3"/>
        <v>1065.6931971159875</v>
      </c>
      <c r="D423" s="5">
        <f t="shared" si="4"/>
        <v>1010.3262538312994</v>
      </c>
      <c r="E423" s="5">
        <f t="shared" si="5"/>
        <v>1121.0601404006757</v>
      </c>
    </row>
    <row r="424" spans="1:5" x14ac:dyDescent="0.3">
      <c r="A424" s="1">
        <v>45349</v>
      </c>
      <c r="C424">
        <f t="shared" si="3"/>
        <v>1065.7115280168682</v>
      </c>
      <c r="D424" s="5">
        <f t="shared" si="4"/>
        <v>1009.9938875654773</v>
      </c>
      <c r="E424" s="5">
        <f t="shared" si="5"/>
        <v>1121.4291684682591</v>
      </c>
    </row>
    <row r="425" spans="1:5" x14ac:dyDescent="0.3">
      <c r="A425" s="1">
        <v>45350</v>
      </c>
      <c r="C425">
        <f t="shared" si="3"/>
        <v>1065.7298589177487</v>
      </c>
      <c r="D425" s="5">
        <f t="shared" si="4"/>
        <v>1009.6592466828748</v>
      </c>
      <c r="E425" s="5">
        <f t="shared" si="5"/>
        <v>1121.8004711526225</v>
      </c>
    </row>
    <row r="426" spans="1:5" x14ac:dyDescent="0.3">
      <c r="A426" s="1">
        <v>45351</v>
      </c>
      <c r="C426">
        <f t="shared" si="3"/>
        <v>1065.7481898186295</v>
      </c>
      <c r="D426" s="5">
        <f t="shared" si="4"/>
        <v>1009.3223455001119</v>
      </c>
      <c r="E426" s="5">
        <f t="shared" si="5"/>
        <v>1122.1740341371471</v>
      </c>
    </row>
    <row r="427" spans="1:5" x14ac:dyDescent="0.3">
      <c r="A427" s="1">
        <v>45352</v>
      </c>
      <c r="C427">
        <f t="shared" si="3"/>
        <v>1065.7665207195103</v>
      </c>
      <c r="D427" s="5">
        <f t="shared" si="4"/>
        <v>1008.9831982466151</v>
      </c>
      <c r="E427" s="5">
        <f t="shared" si="5"/>
        <v>1122.5498431924054</v>
      </c>
    </row>
    <row r="428" spans="1:5" x14ac:dyDescent="0.3">
      <c r="A428" s="1">
        <v>45353</v>
      </c>
      <c r="C428">
        <f t="shared" si="3"/>
        <v>1065.784851620391</v>
      </c>
      <c r="D428" s="5">
        <f t="shared" si="4"/>
        <v>1008.6418190617176</v>
      </c>
      <c r="E428" s="5">
        <f t="shared" si="5"/>
        <v>1122.9278841790644</v>
      </c>
    </row>
    <row r="429" spans="1:5" x14ac:dyDescent="0.3">
      <c r="A429" s="1">
        <v>45354</v>
      </c>
      <c r="C429">
        <f t="shared" si="3"/>
        <v>1065.8031825212718</v>
      </c>
      <c r="D429" s="5">
        <f t="shared" si="4"/>
        <v>1008.2982219919544</v>
      </c>
      <c r="E429" s="5">
        <f t="shared" si="5"/>
        <v>1123.3081430505893</v>
      </c>
    </row>
    <row r="430" spans="1:5" x14ac:dyDescent="0.3">
      <c r="A430" s="1">
        <v>45355</v>
      </c>
      <c r="C430">
        <f t="shared" si="3"/>
        <v>1065.8215134221525</v>
      </c>
      <c r="D430" s="5">
        <f t="shared" si="4"/>
        <v>1007.9524209885452</v>
      </c>
      <c r="E430" s="5">
        <f t="shared" si="5"/>
        <v>1123.6906058557597</v>
      </c>
    </row>
    <row r="431" spans="1:5" x14ac:dyDescent="0.3">
      <c r="A431" s="1">
        <v>45356</v>
      </c>
      <c r="C431">
        <f t="shared" si="3"/>
        <v>1065.8398443230333</v>
      </c>
      <c r="D431" s="5">
        <f t="shared" si="4"/>
        <v>1007.6044299050602</v>
      </c>
      <c r="E431" s="5">
        <f t="shared" si="5"/>
        <v>1124.0752587410063</v>
      </c>
    </row>
    <row r="432" spans="1:5" x14ac:dyDescent="0.3">
      <c r="A432" s="1">
        <v>45357</v>
      </c>
      <c r="C432">
        <f t="shared" ref="C432:C459" si="6">_xlfn.FORECAST.ETS(A432,$B$2:$B$367,$A$2:$A$367,1,1)</f>
        <v>1065.858175223914</v>
      </c>
      <c r="D432" s="5">
        <f t="shared" ref="D432:D459" si="7">C432-_xlfn.FORECAST.ETS.CONFINT(A432,$B$2:$B$367,$A$2:$A$367,0.95,1,1)</f>
        <v>1007.2542624952596</v>
      </c>
      <c r="E432" s="5">
        <f t="shared" ref="E432:E459" si="8">C432+_xlfn.FORECAST.ETS.CONFINT(A432,$B$2:$B$367,$A$2:$A$367,0.95,1,1)</f>
        <v>1124.4620879525685</v>
      </c>
    </row>
    <row r="433" spans="1:5" x14ac:dyDescent="0.3">
      <c r="A433" s="1">
        <v>45358</v>
      </c>
      <c r="C433">
        <f t="shared" si="6"/>
        <v>1065.8765061247946</v>
      </c>
      <c r="D433" s="5">
        <f t="shared" si="7"/>
        <v>1006.9019324111017</v>
      </c>
      <c r="E433" s="5">
        <f t="shared" si="8"/>
        <v>1124.8510798384873</v>
      </c>
    </row>
    <row r="434" spans="1:5" x14ac:dyDescent="0.3">
      <c r="A434" s="1">
        <v>45359</v>
      </c>
      <c r="C434">
        <f t="shared" si="6"/>
        <v>1065.8948370256753</v>
      </c>
      <c r="D434" s="5">
        <f t="shared" si="7"/>
        <v>1006.5474532009141</v>
      </c>
      <c r="E434" s="5">
        <f t="shared" si="8"/>
        <v>1125.2422208504365</v>
      </c>
    </row>
    <row r="435" spans="1:5" x14ac:dyDescent="0.3">
      <c r="A435" s="1">
        <v>45360</v>
      </c>
      <c r="C435">
        <f t="shared" si="6"/>
        <v>1065.9131679265561</v>
      </c>
      <c r="D435" s="5">
        <f t="shared" si="7"/>
        <v>1006.1908383077163</v>
      </c>
      <c r="E435" s="5">
        <f t="shared" si="8"/>
        <v>1125.6354975453958</v>
      </c>
    </row>
    <row r="436" spans="1:5" x14ac:dyDescent="0.3">
      <c r="A436" s="1">
        <v>45361</v>
      </c>
      <c r="C436">
        <f t="shared" si="6"/>
        <v>1065.9314988274368</v>
      </c>
      <c r="D436" s="5">
        <f t="shared" si="7"/>
        <v>1005.8321010676956</v>
      </c>
      <c r="E436" s="5">
        <f t="shared" si="8"/>
        <v>1126.0308965871779</v>
      </c>
    </row>
    <row r="437" spans="1:5" x14ac:dyDescent="0.3">
      <c r="A437" s="1">
        <v>45362</v>
      </c>
      <c r="C437">
        <f t="shared" si="6"/>
        <v>1065.9498297283176</v>
      </c>
      <c r="D437" s="5">
        <f t="shared" si="7"/>
        <v>1005.4712547088233</v>
      </c>
      <c r="E437" s="5">
        <f t="shared" si="8"/>
        <v>1126.4284047478118</v>
      </c>
    </row>
    <row r="438" spans="1:5" x14ac:dyDescent="0.3">
      <c r="A438" s="1">
        <v>45363</v>
      </c>
      <c r="C438">
        <f t="shared" si="6"/>
        <v>1065.9681606291983</v>
      </c>
      <c r="D438" s="5">
        <f t="shared" si="7"/>
        <v>1005.1083123496081</v>
      </c>
      <c r="E438" s="5">
        <f t="shared" si="8"/>
        <v>1126.8280089087887</v>
      </c>
    </row>
    <row r="439" spans="1:5" x14ac:dyDescent="0.3">
      <c r="A439" s="1">
        <v>45364</v>
      </c>
      <c r="C439">
        <f t="shared" si="6"/>
        <v>1065.9864915300791</v>
      </c>
      <c r="D439" s="5">
        <f t="shared" si="7"/>
        <v>1004.7432869979813</v>
      </c>
      <c r="E439" s="5">
        <f t="shared" si="8"/>
        <v>1127.229696062177</v>
      </c>
    </row>
    <row r="440" spans="1:5" x14ac:dyDescent="0.3">
      <c r="A440" s="1">
        <v>45365</v>
      </c>
      <c r="C440">
        <f t="shared" si="6"/>
        <v>1066.0048224309596</v>
      </c>
      <c r="D440" s="5">
        <f t="shared" si="7"/>
        <v>1004.3761915503062</v>
      </c>
      <c r="E440" s="5">
        <f t="shared" si="8"/>
        <v>1127.633453311613</v>
      </c>
    </row>
    <row r="441" spans="1:5" x14ac:dyDescent="0.3">
      <c r="A441" s="1">
        <v>45366</v>
      </c>
      <c r="C441">
        <f t="shared" si="6"/>
        <v>1066.0231533318404</v>
      </c>
      <c r="D441" s="5">
        <f t="shared" si="7"/>
        <v>1004.0070387905093</v>
      </c>
      <c r="E441" s="5">
        <f t="shared" si="8"/>
        <v>1128.0392678731714</v>
      </c>
    </row>
    <row r="442" spans="1:5" x14ac:dyDescent="0.3">
      <c r="A442" s="1">
        <v>45367</v>
      </c>
      <c r="C442">
        <f t="shared" si="6"/>
        <v>1066.0414842327211</v>
      </c>
      <c r="D442" s="5">
        <f t="shared" si="7"/>
        <v>1003.6358413893236</v>
      </c>
      <c r="E442" s="5">
        <f t="shared" si="8"/>
        <v>1128.4471270761187</v>
      </c>
    </row>
    <row r="443" spans="1:5" x14ac:dyDescent="0.3">
      <c r="A443" s="1">
        <v>45368</v>
      </c>
      <c r="C443">
        <f t="shared" si="6"/>
        <v>1066.0598151336019</v>
      </c>
      <c r="D443" s="5">
        <f t="shared" si="7"/>
        <v>1003.2626119036426</v>
      </c>
      <c r="E443" s="5">
        <f t="shared" si="8"/>
        <v>1128.8570183635613</v>
      </c>
    </row>
    <row r="444" spans="1:5" x14ac:dyDescent="0.3">
      <c r="A444" s="1">
        <v>45369</v>
      </c>
      <c r="C444">
        <f t="shared" si="6"/>
        <v>1066.0781460344826</v>
      </c>
      <c r="D444" s="5">
        <f t="shared" si="7"/>
        <v>1002.887362775979</v>
      </c>
      <c r="E444" s="5">
        <f t="shared" si="8"/>
        <v>1129.2689292929863</v>
      </c>
    </row>
    <row r="445" spans="1:5" x14ac:dyDescent="0.3">
      <c r="A445" s="1">
        <v>45370</v>
      </c>
      <c r="C445">
        <f t="shared" si="6"/>
        <v>1066.0964769353634</v>
      </c>
      <c r="D445" s="5">
        <f t="shared" si="7"/>
        <v>1002.5101063340217</v>
      </c>
      <c r="E445" s="5">
        <f t="shared" si="8"/>
        <v>1129.6828475367051</v>
      </c>
    </row>
    <row r="446" spans="1:5" x14ac:dyDescent="0.3">
      <c r="A446" s="1">
        <v>45371</v>
      </c>
      <c r="C446">
        <f t="shared" si="6"/>
        <v>1066.1148078362442</v>
      </c>
      <c r="D446" s="5">
        <f t="shared" si="7"/>
        <v>1002.1308547902879</v>
      </c>
      <c r="E446" s="5">
        <f t="shared" si="8"/>
        <v>1130.0987608822004</v>
      </c>
    </row>
    <row r="447" spans="1:5" x14ac:dyDescent="0.3">
      <c r="A447" s="1">
        <v>45372</v>
      </c>
      <c r="C447">
        <f t="shared" si="6"/>
        <v>1066.1331387371249</v>
      </c>
      <c r="D447" s="5">
        <f t="shared" si="7"/>
        <v>1001.7496202418655</v>
      </c>
      <c r="E447" s="5">
        <f t="shared" si="8"/>
        <v>1130.5166572323842</v>
      </c>
    </row>
    <row r="448" spans="1:5" x14ac:dyDescent="0.3">
      <c r="A448" s="1">
        <v>45373</v>
      </c>
      <c r="C448">
        <f t="shared" si="6"/>
        <v>1066.1514696380054</v>
      </c>
      <c r="D448" s="5">
        <f t="shared" si="7"/>
        <v>1001.3664146702401</v>
      </c>
      <c r="E448" s="5">
        <f t="shared" si="8"/>
        <v>1130.9365246057707</v>
      </c>
    </row>
    <row r="449" spans="1:5" x14ac:dyDescent="0.3">
      <c r="A449" s="1">
        <v>45374</v>
      </c>
      <c r="C449">
        <f t="shared" si="6"/>
        <v>1066.1698005388862</v>
      </c>
      <c r="D449" s="5">
        <f t="shared" si="7"/>
        <v>1000.9812499412056</v>
      </c>
      <c r="E449" s="5">
        <f t="shared" si="8"/>
        <v>1131.3583511365666</v>
      </c>
    </row>
    <row r="450" spans="1:5" x14ac:dyDescent="0.3">
      <c r="A450" s="1">
        <v>45375</v>
      </c>
      <c r="C450">
        <f t="shared" si="6"/>
        <v>1066.1881314397669</v>
      </c>
      <c r="D450" s="5">
        <f t="shared" si="7"/>
        <v>1000.5941378048485</v>
      </c>
      <c r="E450" s="5">
        <f t="shared" si="8"/>
        <v>1131.7821250746854</v>
      </c>
    </row>
    <row r="451" spans="1:5" x14ac:dyDescent="0.3">
      <c r="A451" s="1">
        <v>45376</v>
      </c>
      <c r="C451">
        <f t="shared" si="6"/>
        <v>1066.2064623406477</v>
      </c>
      <c r="D451" s="5">
        <f t="shared" si="7"/>
        <v>1000.205089895608</v>
      </c>
      <c r="E451" s="5">
        <f t="shared" si="8"/>
        <v>1132.2078347856873</v>
      </c>
    </row>
    <row r="452" spans="1:5" x14ac:dyDescent="0.3">
      <c r="A452" s="1">
        <v>45377</v>
      </c>
      <c r="C452">
        <f t="shared" si="6"/>
        <v>1066.2247932415285</v>
      </c>
      <c r="D452" s="5">
        <f t="shared" si="7"/>
        <v>999.81411773240529</v>
      </c>
      <c r="E452" s="5">
        <f t="shared" si="8"/>
        <v>1132.6354687506516</v>
      </c>
    </row>
    <row r="453" spans="1:5" x14ac:dyDescent="0.3">
      <c r="A453" s="1">
        <v>45378</v>
      </c>
      <c r="C453">
        <f t="shared" si="6"/>
        <v>1066.2431241424092</v>
      </c>
      <c r="D453" s="5">
        <f t="shared" si="7"/>
        <v>999.42123271883668</v>
      </c>
      <c r="E453" s="5">
        <f t="shared" si="8"/>
        <v>1133.0650155659819</v>
      </c>
    </row>
    <row r="454" spans="1:5" x14ac:dyDescent="0.3">
      <c r="A454" s="1">
        <v>45379</v>
      </c>
      <c r="C454">
        <f t="shared" si="6"/>
        <v>1066.26145504329</v>
      </c>
      <c r="D454" s="5">
        <f t="shared" si="7"/>
        <v>999.02644614343046</v>
      </c>
      <c r="E454" s="5">
        <f t="shared" si="8"/>
        <v>1133.4964639431496</v>
      </c>
    </row>
    <row r="455" spans="1:5" x14ac:dyDescent="0.3">
      <c r="A455" s="1">
        <v>45380</v>
      </c>
      <c r="C455">
        <f t="shared" si="6"/>
        <v>1066.2797859441707</v>
      </c>
      <c r="D455" s="5">
        <f t="shared" si="7"/>
        <v>998.62976917996127</v>
      </c>
      <c r="E455" s="5">
        <f t="shared" si="8"/>
        <v>1133.9298027083803</v>
      </c>
    </row>
    <row r="456" spans="1:5" x14ac:dyDescent="0.3">
      <c r="A456" s="1">
        <v>45381</v>
      </c>
      <c r="C456">
        <f t="shared" si="6"/>
        <v>1066.2981168450513</v>
      </c>
      <c r="D456" s="5">
        <f t="shared" si="7"/>
        <v>998.23121288781977</v>
      </c>
      <c r="E456" s="5">
        <f t="shared" si="8"/>
        <v>1134.3650208022827</v>
      </c>
    </row>
    <row r="457" spans="1:5" x14ac:dyDescent="0.3">
      <c r="A457" s="1">
        <v>45382</v>
      </c>
      <c r="C457">
        <f t="shared" si="6"/>
        <v>1066.316447745932</v>
      </c>
      <c r="D457" s="5">
        <f t="shared" si="7"/>
        <v>997.83078821243555</v>
      </c>
      <c r="E457" s="5">
        <f t="shared" si="8"/>
        <v>1134.8021072794284</v>
      </c>
    </row>
    <row r="458" spans="1:5" x14ac:dyDescent="0.3">
      <c r="A458" s="1">
        <v>45383</v>
      </c>
      <c r="C458">
        <f t="shared" si="6"/>
        <v>1066.3347786468128</v>
      </c>
      <c r="D458" s="5">
        <f t="shared" si="7"/>
        <v>997.42850598574637</v>
      </c>
      <c r="E458" s="5">
        <f t="shared" si="8"/>
        <v>1135.2410513078792</v>
      </c>
    </row>
    <row r="459" spans="1:5" x14ac:dyDescent="0.3">
      <c r="A459" s="1">
        <v>45384</v>
      </c>
      <c r="C459">
        <f t="shared" si="6"/>
        <v>1066.3531095476935</v>
      </c>
      <c r="D459" s="5">
        <f t="shared" si="7"/>
        <v>997.0243769267156</v>
      </c>
      <c r="E459" s="5">
        <f t="shared" si="8"/>
        <v>1135.6818421686714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9A5D-6F1E-458A-BCCC-CA2F86B0AE0D}">
  <dimension ref="A3:G10"/>
  <sheetViews>
    <sheetView workbookViewId="0">
      <selection activeCell="C6" sqref="C6"/>
    </sheetView>
  </sheetViews>
  <sheetFormatPr defaultRowHeight="14.4" x14ac:dyDescent="0.3"/>
  <cols>
    <col min="1" max="1" width="19.77734375" bestFit="1" customWidth="1"/>
    <col min="2" max="2" width="15.5546875" bestFit="1" customWidth="1"/>
    <col min="3" max="4" width="7.6640625" bestFit="1" customWidth="1"/>
    <col min="5" max="6" width="7" bestFit="1" customWidth="1"/>
    <col min="7" max="7" width="10.77734375" bestFit="1" customWidth="1"/>
    <col min="8" max="8" width="24.88671875" bestFit="1" customWidth="1"/>
    <col min="9" max="9" width="19.77734375" bestFit="1" customWidth="1"/>
    <col min="10" max="10" width="24.88671875" bestFit="1" customWidth="1"/>
    <col min="11" max="11" width="19.77734375" bestFit="1" customWidth="1"/>
    <col min="12" max="12" width="29.77734375" bestFit="1" customWidth="1"/>
    <col min="13" max="13" width="24.5546875" bestFit="1" customWidth="1"/>
  </cols>
  <sheetData>
    <row r="3" spans="1:7" x14ac:dyDescent="0.3">
      <c r="A3" s="3" t="s">
        <v>59</v>
      </c>
      <c r="B3" s="3" t="s">
        <v>58</v>
      </c>
    </row>
    <row r="4" spans="1:7" x14ac:dyDescent="0.3">
      <c r="B4" t="s">
        <v>56</v>
      </c>
      <c r="F4" t="s">
        <v>57</v>
      </c>
      <c r="G4" t="s">
        <v>55</v>
      </c>
    </row>
    <row r="5" spans="1:7" x14ac:dyDescent="0.3">
      <c r="A5" s="3" t="s">
        <v>54</v>
      </c>
      <c r="B5" t="s">
        <v>60</v>
      </c>
      <c r="C5" t="s">
        <v>61</v>
      </c>
      <c r="D5" t="s">
        <v>62</v>
      </c>
      <c r="E5" t="s">
        <v>63</v>
      </c>
      <c r="F5" t="s">
        <v>60</v>
      </c>
    </row>
    <row r="6" spans="1:7" x14ac:dyDescent="0.3">
      <c r="A6" s="4" t="s">
        <v>29</v>
      </c>
      <c r="B6" s="6"/>
      <c r="C6" s="6">
        <v>-0.17913722374050547</v>
      </c>
      <c r="D6" s="6">
        <v>0.12875200791116309</v>
      </c>
      <c r="E6" s="6">
        <v>7.4794373756357113E-2</v>
      </c>
      <c r="F6" s="6"/>
      <c r="G6" s="6"/>
    </row>
    <row r="7" spans="1:7" x14ac:dyDescent="0.3">
      <c r="A7" s="4" t="s">
        <v>35</v>
      </c>
      <c r="B7" s="6"/>
      <c r="C7" s="6">
        <v>0.13542035285630269</v>
      </c>
      <c r="D7" s="6">
        <v>-4.1427775917730926E-2</v>
      </c>
      <c r="E7" s="6">
        <v>2.883371691034296E-2</v>
      </c>
      <c r="F7" s="6"/>
      <c r="G7" s="6"/>
    </row>
    <row r="8" spans="1:7" x14ac:dyDescent="0.3">
      <c r="A8" s="4" t="s">
        <v>26</v>
      </c>
      <c r="B8" s="6"/>
      <c r="C8" s="6">
        <v>6.1879133547606983E-2</v>
      </c>
      <c r="D8" s="6">
        <v>3.162571209297927E-2</v>
      </c>
      <c r="E8" s="6">
        <v>0.22002140766371556</v>
      </c>
      <c r="F8" s="6"/>
      <c r="G8" s="6"/>
    </row>
    <row r="9" spans="1:7" x14ac:dyDescent="0.3">
      <c r="A9" s="4" t="s">
        <v>16</v>
      </c>
      <c r="B9" s="6"/>
      <c r="C9" s="6">
        <v>1.924790989925643E-2</v>
      </c>
      <c r="D9" s="6">
        <v>-0.2649302021569897</v>
      </c>
      <c r="E9" s="6">
        <v>0.14614192548018734</v>
      </c>
      <c r="F9" s="6"/>
      <c r="G9" s="6"/>
    </row>
    <row r="10" spans="1:7" x14ac:dyDescent="0.3">
      <c r="A10" s="4" t="s">
        <v>55</v>
      </c>
      <c r="B10" s="6"/>
      <c r="C10" s="6">
        <v>-8.9831247531531094E-4</v>
      </c>
      <c r="D10" s="6">
        <v>-4.9158836334514421E-2</v>
      </c>
      <c r="E10" s="6">
        <v>0.11411373057146906</v>
      </c>
      <c r="F10" s="6"/>
      <c r="G1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1AE5-F021-4444-8EAA-0994192F377B}">
  <dimension ref="A3:G21"/>
  <sheetViews>
    <sheetView workbookViewId="0">
      <selection activeCell="D6" sqref="D6"/>
    </sheetView>
  </sheetViews>
  <sheetFormatPr defaultRowHeight="14.4" x14ac:dyDescent="0.3"/>
  <cols>
    <col min="1" max="1" width="23" bestFit="1" customWidth="1"/>
    <col min="2" max="2" width="15.5546875" bestFit="1" customWidth="1"/>
    <col min="3" max="5" width="12" bestFit="1" customWidth="1"/>
    <col min="6" max="6" width="8" bestFit="1" customWidth="1"/>
    <col min="7" max="8" width="12" bestFit="1" customWidth="1"/>
    <col min="9" max="11" width="10" bestFit="1" customWidth="1"/>
    <col min="12" max="12" width="8" bestFit="1" customWidth="1"/>
    <col min="13" max="13" width="14.77734375" bestFit="1" customWidth="1"/>
    <col min="14" max="17" width="10" bestFit="1" customWidth="1"/>
    <col min="18" max="18" width="8" bestFit="1" customWidth="1"/>
    <col min="19" max="19" width="11" bestFit="1" customWidth="1"/>
    <col min="20" max="20" width="10.6640625" bestFit="1" customWidth="1"/>
    <col min="21" max="23" width="10" bestFit="1" customWidth="1"/>
    <col min="24" max="24" width="13.44140625" bestFit="1" customWidth="1"/>
    <col min="25" max="25" width="11" bestFit="1" customWidth="1"/>
  </cols>
  <sheetData>
    <row r="3" spans="1:7" x14ac:dyDescent="0.3">
      <c r="A3" s="7" t="s">
        <v>67</v>
      </c>
      <c r="B3" s="7" t="s">
        <v>58</v>
      </c>
      <c r="C3" s="8"/>
      <c r="D3" s="8"/>
      <c r="E3" s="8"/>
      <c r="F3" s="8"/>
      <c r="G3" s="8"/>
    </row>
    <row r="4" spans="1:7" x14ac:dyDescent="0.3">
      <c r="A4" s="8"/>
      <c r="B4" s="8" t="s">
        <v>56</v>
      </c>
      <c r="C4" s="8"/>
      <c r="D4" s="8"/>
      <c r="E4" s="8"/>
      <c r="F4" s="8" t="s">
        <v>57</v>
      </c>
      <c r="G4" s="8" t="s">
        <v>55</v>
      </c>
    </row>
    <row r="5" spans="1:7" x14ac:dyDescent="0.3">
      <c r="A5" s="7" t="s">
        <v>54</v>
      </c>
      <c r="B5" s="8" t="s">
        <v>60</v>
      </c>
      <c r="C5" s="8" t="s">
        <v>61</v>
      </c>
      <c r="D5" s="8" t="s">
        <v>62</v>
      </c>
      <c r="E5" s="8" t="s">
        <v>63</v>
      </c>
      <c r="F5" s="8" t="s">
        <v>60</v>
      </c>
      <c r="G5" s="8"/>
    </row>
    <row r="6" spans="1:7" x14ac:dyDescent="0.3">
      <c r="A6" s="9" t="s">
        <v>29</v>
      </c>
      <c r="B6">
        <v>5076.1846376811609</v>
      </c>
      <c r="C6">
        <v>4563.6939682539687</v>
      </c>
      <c r="D6">
        <v>4992.7778461538473</v>
      </c>
      <c r="E6">
        <v>4982.9088571428565</v>
      </c>
      <c r="F6">
        <v>2370.7199999999998</v>
      </c>
      <c r="G6">
        <v>4901.0237313432835</v>
      </c>
    </row>
    <row r="7" spans="1:7" x14ac:dyDescent="0.3">
      <c r="A7" s="9" t="s">
        <v>35</v>
      </c>
      <c r="B7">
        <v>4660.8208196721307</v>
      </c>
      <c r="C7">
        <v>5291.9908196721317</v>
      </c>
      <c r="D7">
        <v>5335.1393103448281</v>
      </c>
      <c r="E7">
        <v>4897.8512307692317</v>
      </c>
      <c r="F7">
        <v>8579.7199999999993</v>
      </c>
      <c r="G7">
        <v>5054.876585365856</v>
      </c>
    </row>
    <row r="8" spans="1:7" x14ac:dyDescent="0.3">
      <c r="A8" s="9" t="s">
        <v>26</v>
      </c>
      <c r="B8">
        <v>4659.0061403508789</v>
      </c>
      <c r="C8">
        <v>5874.9204166666668</v>
      </c>
      <c r="D8">
        <v>5289.3547272727264</v>
      </c>
      <c r="E8">
        <v>5460.3373846153845</v>
      </c>
      <c r="F8">
        <v>8377.57</v>
      </c>
      <c r="G8">
        <v>5317.5820353982317</v>
      </c>
    </row>
    <row r="9" spans="1:7" x14ac:dyDescent="0.3">
      <c r="A9" s="9" t="s">
        <v>16</v>
      </c>
      <c r="B9">
        <v>5110.593088235295</v>
      </c>
      <c r="C9">
        <v>4852.1831506849303</v>
      </c>
      <c r="D9">
        <v>5105.2668627450976</v>
      </c>
      <c r="E9">
        <v>4388.5202941176467</v>
      </c>
      <c r="G9">
        <v>4848.1449615384627</v>
      </c>
    </row>
    <row r="10" spans="1:7" x14ac:dyDescent="0.3">
      <c r="A10" s="9" t="s">
        <v>55</v>
      </c>
      <c r="B10">
        <v>4892.747019607843</v>
      </c>
      <c r="C10">
        <v>5087.8763673469384</v>
      </c>
      <c r="D10">
        <v>5175.7718777292557</v>
      </c>
      <c r="E10">
        <v>4927.258432835818</v>
      </c>
      <c r="F10">
        <v>6442.6699999999992</v>
      </c>
      <c r="G10">
        <v>5019.2652300000018</v>
      </c>
    </row>
    <row r="18" spans="1:1" x14ac:dyDescent="0.3">
      <c r="A18" s="10"/>
    </row>
    <row r="19" spans="1:1" x14ac:dyDescent="0.3">
      <c r="A19" s="10"/>
    </row>
    <row r="20" spans="1:1" x14ac:dyDescent="0.3">
      <c r="A20" s="10"/>
    </row>
    <row r="21" spans="1:1" x14ac:dyDescent="0.3">
      <c r="A21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2736-8CD4-4213-8A80-4F4BE3839F4A}">
  <dimension ref="A3:C8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9.6640625" bestFit="1" customWidth="1"/>
    <col min="3" max="3" width="19.77734375" bestFit="1" customWidth="1"/>
  </cols>
  <sheetData>
    <row r="3" spans="1:3" x14ac:dyDescent="0.3">
      <c r="A3" s="3" t="s">
        <v>54</v>
      </c>
      <c r="B3" t="s">
        <v>70</v>
      </c>
      <c r="C3" t="s">
        <v>59</v>
      </c>
    </row>
    <row r="4" spans="1:3" x14ac:dyDescent="0.3">
      <c r="A4" s="4" t="s">
        <v>29</v>
      </c>
      <c r="B4">
        <v>6922</v>
      </c>
      <c r="C4">
        <v>1313474.3599999999</v>
      </c>
    </row>
    <row r="5" spans="1:3" x14ac:dyDescent="0.3">
      <c r="A5" s="4" t="s">
        <v>35</v>
      </c>
      <c r="B5">
        <v>6096</v>
      </c>
      <c r="C5">
        <v>1243499.6400000006</v>
      </c>
    </row>
    <row r="6" spans="1:3" x14ac:dyDescent="0.3">
      <c r="A6" s="4" t="s">
        <v>26</v>
      </c>
      <c r="B6">
        <v>5608</v>
      </c>
      <c r="C6">
        <v>1201773.5399999998</v>
      </c>
    </row>
    <row r="7" spans="1:3" x14ac:dyDescent="0.3">
      <c r="A7" s="4" t="s">
        <v>16</v>
      </c>
      <c r="B7">
        <v>6729</v>
      </c>
      <c r="C7">
        <v>1260517.6900000002</v>
      </c>
    </row>
    <row r="8" spans="1:3" x14ac:dyDescent="0.3">
      <c r="A8" s="4" t="s">
        <v>55</v>
      </c>
      <c r="B8">
        <v>25355</v>
      </c>
      <c r="C8">
        <v>5019265.2300000004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B1F2-B94B-4043-8337-DF64DE01BBE0}">
  <dimension ref="A3:C8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9.6640625" bestFit="1" customWidth="1"/>
    <col min="3" max="3" width="23.88671875" bestFit="1" customWidth="1"/>
    <col min="4" max="4" width="9.6640625" bestFit="1" customWidth="1"/>
    <col min="5" max="29" width="10.6640625" bestFit="1" customWidth="1"/>
    <col min="30" max="30" width="9.6640625" bestFit="1" customWidth="1"/>
    <col min="31" max="32" width="10.6640625" bestFit="1" customWidth="1"/>
    <col min="33" max="33" width="9.6640625" bestFit="1" customWidth="1"/>
    <col min="34" max="34" width="7.6640625" bestFit="1" customWidth="1"/>
    <col min="35" max="41" width="10.6640625" bestFit="1" customWidth="1"/>
    <col min="42" max="42" width="9.6640625" bestFit="1" customWidth="1"/>
    <col min="43" max="43" width="10.6640625" bestFit="1" customWidth="1"/>
    <col min="44" max="44" width="9.6640625" bestFit="1" customWidth="1"/>
    <col min="45" max="48" width="10.6640625" bestFit="1" customWidth="1"/>
    <col min="49" max="49" width="9.6640625" bestFit="1" customWidth="1"/>
    <col min="50" max="66" width="10.6640625" bestFit="1" customWidth="1"/>
    <col min="67" max="67" width="9.6640625" bestFit="1" customWidth="1"/>
    <col min="68" max="81" width="10.6640625" bestFit="1" customWidth="1"/>
    <col min="82" max="82" width="9.6640625" bestFit="1" customWidth="1"/>
    <col min="83" max="87" width="10.6640625" bestFit="1" customWidth="1"/>
    <col min="88" max="88" width="9.6640625" bestFit="1" customWidth="1"/>
    <col min="89" max="105" width="10.6640625" bestFit="1" customWidth="1"/>
    <col min="106" max="106" width="9.6640625" bestFit="1" customWidth="1"/>
    <col min="107" max="108" width="10.6640625" bestFit="1" customWidth="1"/>
    <col min="109" max="109" width="7.6640625" bestFit="1" customWidth="1"/>
    <col min="110" max="150" width="10.6640625" bestFit="1" customWidth="1"/>
    <col min="151" max="151" width="9.6640625" bestFit="1" customWidth="1"/>
    <col min="152" max="163" width="10.6640625" bestFit="1" customWidth="1"/>
    <col min="164" max="164" width="9.6640625" bestFit="1" customWidth="1"/>
    <col min="165" max="166" width="10.6640625" bestFit="1" customWidth="1"/>
    <col min="167" max="167" width="7.6640625" bestFit="1" customWidth="1"/>
    <col min="168" max="175" width="10.6640625" bestFit="1" customWidth="1"/>
    <col min="176" max="176" width="9.6640625" bestFit="1" customWidth="1"/>
    <col min="177" max="187" width="10.6640625" bestFit="1" customWidth="1"/>
    <col min="188" max="188" width="9.6640625" bestFit="1" customWidth="1"/>
    <col min="189" max="198" width="10.6640625" bestFit="1" customWidth="1"/>
    <col min="199" max="199" width="9.6640625" bestFit="1" customWidth="1"/>
    <col min="200" max="221" width="10.6640625" bestFit="1" customWidth="1"/>
    <col min="222" max="232" width="9.6640625" bestFit="1" customWidth="1"/>
    <col min="233" max="233" width="8.6640625" bestFit="1" customWidth="1"/>
    <col min="234" max="239" width="9.6640625" bestFit="1" customWidth="1"/>
    <col min="240" max="240" width="8.6640625" bestFit="1" customWidth="1"/>
    <col min="241" max="243" width="9.6640625" bestFit="1" customWidth="1"/>
    <col min="244" max="244" width="8.6640625" bestFit="1" customWidth="1"/>
    <col min="245" max="250" width="9.6640625" bestFit="1" customWidth="1"/>
    <col min="251" max="252" width="8.6640625" bestFit="1" customWidth="1"/>
    <col min="253" max="253" width="9.6640625" bestFit="1" customWidth="1"/>
    <col min="254" max="254" width="6.6640625" bestFit="1" customWidth="1"/>
    <col min="255" max="255" width="9.6640625" bestFit="1" customWidth="1"/>
    <col min="256" max="256" width="8.6640625" bestFit="1" customWidth="1"/>
    <col min="257" max="262" width="9.6640625" bestFit="1" customWidth="1"/>
    <col min="263" max="263" width="8.6640625" bestFit="1" customWidth="1"/>
    <col min="264" max="274" width="9.6640625" bestFit="1" customWidth="1"/>
    <col min="275" max="275" width="8.6640625" bestFit="1" customWidth="1"/>
    <col min="276" max="281" width="9.6640625" bestFit="1" customWidth="1"/>
    <col min="282" max="282" width="8.6640625" bestFit="1" customWidth="1"/>
    <col min="283" max="292" width="9.6640625" bestFit="1" customWidth="1"/>
    <col min="293" max="293" width="8.6640625" bestFit="1" customWidth="1"/>
    <col min="294" max="333" width="9.6640625" bestFit="1" customWidth="1"/>
    <col min="334" max="335" width="8.6640625" bestFit="1" customWidth="1"/>
    <col min="336" max="346" width="9.6640625" bestFit="1" customWidth="1"/>
    <col min="347" max="347" width="8.6640625" bestFit="1" customWidth="1"/>
    <col min="348" max="350" width="9.6640625" bestFit="1" customWidth="1"/>
    <col min="351" max="351" width="8.6640625" bestFit="1" customWidth="1"/>
    <col min="352" max="353" width="9.6640625" bestFit="1" customWidth="1"/>
    <col min="354" max="354" width="8.6640625" bestFit="1" customWidth="1"/>
    <col min="355" max="368" width="9.6640625" bestFit="1" customWidth="1"/>
    <col min="369" max="369" width="8.6640625" bestFit="1" customWidth="1"/>
    <col min="370" max="377" width="9.6640625" bestFit="1" customWidth="1"/>
    <col min="378" max="378" width="8.6640625" bestFit="1" customWidth="1"/>
    <col min="379" max="385" width="9.6640625" bestFit="1" customWidth="1"/>
    <col min="386" max="386" width="8.6640625" bestFit="1" customWidth="1"/>
    <col min="387" max="394" width="9.6640625" bestFit="1" customWidth="1"/>
    <col min="395" max="395" width="8.6640625" bestFit="1" customWidth="1"/>
    <col min="396" max="400" width="9.6640625" bestFit="1" customWidth="1"/>
    <col min="401" max="401" width="8.6640625" bestFit="1" customWidth="1"/>
    <col min="402" max="411" width="9.6640625" bestFit="1" customWidth="1"/>
    <col min="412" max="413" width="8.6640625" bestFit="1" customWidth="1"/>
    <col min="414" max="415" width="9.6640625" bestFit="1" customWidth="1"/>
    <col min="416" max="416" width="8.6640625" bestFit="1" customWidth="1"/>
    <col min="417" max="433" width="9.6640625" bestFit="1" customWidth="1"/>
    <col min="434" max="434" width="8.6640625" bestFit="1" customWidth="1"/>
    <col min="435" max="435" width="6.6640625" bestFit="1" customWidth="1"/>
    <col min="436" max="444" width="9.6640625" bestFit="1" customWidth="1"/>
    <col min="445" max="445" width="8.6640625" bestFit="1" customWidth="1"/>
    <col min="446" max="459" width="9.6640625" bestFit="1" customWidth="1"/>
    <col min="460" max="460" width="8.6640625" bestFit="1" customWidth="1"/>
    <col min="461" max="470" width="9.6640625" bestFit="1" customWidth="1"/>
    <col min="471" max="471" width="8.6640625" bestFit="1" customWidth="1"/>
    <col min="472" max="484" width="9.6640625" bestFit="1" customWidth="1"/>
    <col min="485" max="485" width="8.6640625" bestFit="1" customWidth="1"/>
    <col min="486" max="506" width="9.6640625" bestFit="1" customWidth="1"/>
    <col min="507" max="507" width="8.6640625" bestFit="1" customWidth="1"/>
    <col min="508" max="516" width="9.6640625" bestFit="1" customWidth="1"/>
    <col min="517" max="518" width="8.6640625" bestFit="1" customWidth="1"/>
    <col min="519" max="527" width="9.6640625" bestFit="1" customWidth="1"/>
    <col min="528" max="528" width="6.6640625" bestFit="1" customWidth="1"/>
    <col min="529" max="533" width="9.6640625" bestFit="1" customWidth="1"/>
    <col min="534" max="534" width="8.6640625" bestFit="1" customWidth="1"/>
    <col min="535" max="536" width="9.6640625" bestFit="1" customWidth="1"/>
    <col min="537" max="537" width="8.6640625" bestFit="1" customWidth="1"/>
    <col min="538" max="541" width="9.6640625" bestFit="1" customWidth="1"/>
    <col min="542" max="542" width="8.6640625" bestFit="1" customWidth="1"/>
    <col min="543" max="544" width="9.6640625" bestFit="1" customWidth="1"/>
    <col min="545" max="545" width="8.6640625" bestFit="1" customWidth="1"/>
    <col min="546" max="559" width="9.6640625" bestFit="1" customWidth="1"/>
    <col min="560" max="560" width="8.6640625" bestFit="1" customWidth="1"/>
    <col min="561" max="569" width="9.6640625" bestFit="1" customWidth="1"/>
    <col min="570" max="571" width="8.6640625" bestFit="1" customWidth="1"/>
    <col min="572" max="580" width="9.6640625" bestFit="1" customWidth="1"/>
    <col min="581" max="582" width="8.6640625" bestFit="1" customWidth="1"/>
    <col min="583" max="601" width="9.6640625" bestFit="1" customWidth="1"/>
    <col min="602" max="602" width="8.6640625" bestFit="1" customWidth="1"/>
    <col min="603" max="605" width="9.6640625" bestFit="1" customWidth="1"/>
    <col min="606" max="606" width="8.6640625" bestFit="1" customWidth="1"/>
    <col min="607" max="610" width="9.6640625" bestFit="1" customWidth="1"/>
    <col min="611" max="611" width="8.6640625" bestFit="1" customWidth="1"/>
    <col min="612" max="616" width="9.6640625" bestFit="1" customWidth="1"/>
    <col min="617" max="617" width="8.6640625" bestFit="1" customWidth="1"/>
    <col min="618" max="618" width="9.6640625" bestFit="1" customWidth="1"/>
    <col min="619" max="619" width="8.6640625" bestFit="1" customWidth="1"/>
    <col min="620" max="621" width="9.6640625" bestFit="1" customWidth="1"/>
    <col min="622" max="622" width="8.6640625" bestFit="1" customWidth="1"/>
    <col min="623" max="623" width="9.6640625" bestFit="1" customWidth="1"/>
    <col min="624" max="625" width="8.6640625" bestFit="1" customWidth="1"/>
    <col min="626" max="634" width="9.6640625" bestFit="1" customWidth="1"/>
    <col min="635" max="635" width="8.6640625" bestFit="1" customWidth="1"/>
    <col min="636" max="639" width="9.6640625" bestFit="1" customWidth="1"/>
    <col min="640" max="640" width="8.6640625" bestFit="1" customWidth="1"/>
    <col min="641" max="647" width="9.6640625" bestFit="1" customWidth="1"/>
    <col min="648" max="648" width="6.6640625" bestFit="1" customWidth="1"/>
    <col min="649" max="649" width="9.6640625" bestFit="1" customWidth="1"/>
    <col min="650" max="650" width="8.6640625" bestFit="1" customWidth="1"/>
    <col min="651" max="654" width="9.6640625" bestFit="1" customWidth="1"/>
    <col min="655" max="656" width="8.6640625" bestFit="1" customWidth="1"/>
    <col min="657" max="670" width="9.6640625" bestFit="1" customWidth="1"/>
    <col min="671" max="671" width="8.6640625" bestFit="1" customWidth="1"/>
    <col min="672" max="691" width="9.6640625" bestFit="1" customWidth="1"/>
    <col min="692" max="692" width="8.6640625" bestFit="1" customWidth="1"/>
    <col min="693" max="707" width="9.6640625" bestFit="1" customWidth="1"/>
    <col min="708" max="708" width="8.6640625" bestFit="1" customWidth="1"/>
    <col min="709" max="721" width="9.6640625" bestFit="1" customWidth="1"/>
    <col min="722" max="722" width="8.6640625" bestFit="1" customWidth="1"/>
    <col min="723" max="724" width="9.6640625" bestFit="1" customWidth="1"/>
    <col min="725" max="725" width="8.6640625" bestFit="1" customWidth="1"/>
    <col min="726" max="726" width="6.6640625" bestFit="1" customWidth="1"/>
    <col min="727" max="733" width="9.6640625" bestFit="1" customWidth="1"/>
    <col min="734" max="734" width="8.6640625" bestFit="1" customWidth="1"/>
    <col min="735" max="736" width="9.6640625" bestFit="1" customWidth="1"/>
    <col min="737" max="737" width="8.6640625" bestFit="1" customWidth="1"/>
    <col min="738" max="745" width="9.6640625" bestFit="1" customWidth="1"/>
    <col min="746" max="746" width="8.6640625" bestFit="1" customWidth="1"/>
    <col min="747" max="781" width="9.6640625" bestFit="1" customWidth="1"/>
    <col min="782" max="782" width="8.6640625" bestFit="1" customWidth="1"/>
    <col min="783" max="788" width="9.6640625" bestFit="1" customWidth="1"/>
    <col min="789" max="801" width="8.6640625" bestFit="1" customWidth="1"/>
    <col min="802" max="802" width="7.6640625" bestFit="1" customWidth="1"/>
    <col min="803" max="815" width="8.6640625" bestFit="1" customWidth="1"/>
    <col min="816" max="816" width="7.6640625" bestFit="1" customWidth="1"/>
    <col min="817" max="848" width="8.6640625" bestFit="1" customWidth="1"/>
    <col min="849" max="851" width="7.6640625" bestFit="1" customWidth="1"/>
    <col min="852" max="865" width="8.6640625" bestFit="1" customWidth="1"/>
    <col min="866" max="866" width="5.6640625" bestFit="1" customWidth="1"/>
    <col min="867" max="872" width="8.6640625" bestFit="1" customWidth="1"/>
    <col min="873" max="873" width="7.6640625" bestFit="1" customWidth="1"/>
    <col min="874" max="899" width="8.6640625" bestFit="1" customWidth="1"/>
    <col min="900" max="900" width="7.6640625" bestFit="1" customWidth="1"/>
    <col min="901" max="906" width="8.6640625" bestFit="1" customWidth="1"/>
    <col min="907" max="919" width="7.6640625" bestFit="1" customWidth="1"/>
    <col min="920" max="921" width="6.6640625" bestFit="1" customWidth="1"/>
    <col min="922" max="924" width="6" bestFit="1" customWidth="1"/>
    <col min="925" max="926" width="7" bestFit="1" customWidth="1"/>
    <col min="927" max="927" width="6" bestFit="1" customWidth="1"/>
    <col min="928" max="932" width="7" bestFit="1" customWidth="1"/>
    <col min="933" max="933" width="4" bestFit="1" customWidth="1"/>
    <col min="934" max="940" width="8" bestFit="1" customWidth="1"/>
    <col min="941" max="941" width="7" bestFit="1" customWidth="1"/>
    <col min="942" max="965" width="8" bestFit="1" customWidth="1"/>
    <col min="966" max="967" width="7" bestFit="1" customWidth="1"/>
    <col min="968" max="1001" width="8" bestFit="1" customWidth="1"/>
    <col min="1002" max="1002" width="10.77734375" bestFit="1" customWidth="1"/>
  </cols>
  <sheetData>
    <row r="3" spans="1:3" x14ac:dyDescent="0.3">
      <c r="A3" s="3" t="s">
        <v>54</v>
      </c>
      <c r="B3" t="s">
        <v>70</v>
      </c>
      <c r="C3" t="s">
        <v>73</v>
      </c>
    </row>
    <row r="4" spans="1:3" x14ac:dyDescent="0.3">
      <c r="A4" s="4" t="s">
        <v>29</v>
      </c>
      <c r="B4" s="16">
        <v>6922</v>
      </c>
      <c r="C4" s="17">
        <v>8.881533836766084E-2</v>
      </c>
    </row>
    <row r="5" spans="1:3" x14ac:dyDescent="0.3">
      <c r="A5" s="4" t="s">
        <v>16</v>
      </c>
      <c r="B5" s="16">
        <v>6729</v>
      </c>
      <c r="C5" s="17">
        <v>9.707768269969097E-2</v>
      </c>
    </row>
    <row r="6" spans="1:3" x14ac:dyDescent="0.3">
      <c r="A6" s="4" t="s">
        <v>35</v>
      </c>
      <c r="B6" s="16">
        <v>6096</v>
      </c>
      <c r="C6" s="17">
        <v>8.9597429004171572E-2</v>
      </c>
    </row>
    <row r="7" spans="1:3" x14ac:dyDescent="0.3">
      <c r="A7" s="4" t="s">
        <v>26</v>
      </c>
      <c r="B7" s="16">
        <v>5608</v>
      </c>
      <c r="C7" s="17">
        <v>9.385277916162281E-2</v>
      </c>
    </row>
    <row r="8" spans="1:3" x14ac:dyDescent="0.3">
      <c r="A8" s="4" t="s">
        <v>55</v>
      </c>
      <c r="B8" s="16">
        <v>25355</v>
      </c>
      <c r="C8" s="17">
        <v>9.2248720879093346E-2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04A3-78BD-4FBE-8102-18D6BB5E2899}">
  <dimension ref="A3:B14"/>
  <sheetViews>
    <sheetView tabSelected="1" workbookViewId="0">
      <selection activeCell="H23" sqref="H23"/>
    </sheetView>
  </sheetViews>
  <sheetFormatPr defaultRowHeight="14.4" x14ac:dyDescent="0.3"/>
  <cols>
    <col min="1" max="1" width="12.5546875" bestFit="1" customWidth="1"/>
    <col min="2" max="3" width="21.109375" bestFit="1" customWidth="1"/>
  </cols>
  <sheetData>
    <row r="3" spans="1:2" x14ac:dyDescent="0.3">
      <c r="A3" s="3" t="s">
        <v>54</v>
      </c>
      <c r="B3" t="s">
        <v>75</v>
      </c>
    </row>
    <row r="4" spans="1:2" x14ac:dyDescent="0.3">
      <c r="A4" s="4" t="s">
        <v>29</v>
      </c>
      <c r="B4" s="6">
        <v>0.27423219378965968</v>
      </c>
    </row>
    <row r="5" spans="1:2" x14ac:dyDescent="0.3">
      <c r="A5" s="4" t="s">
        <v>16</v>
      </c>
      <c r="B5" s="6">
        <v>0.26063267471791962</v>
      </c>
    </row>
    <row r="6" spans="1:2" x14ac:dyDescent="0.3">
      <c r="A6" s="4" t="s">
        <v>35</v>
      </c>
      <c r="B6" s="6">
        <v>0.24983727261271008</v>
      </c>
    </row>
    <row r="7" spans="1:2" x14ac:dyDescent="0.3">
      <c r="A7" s="4" t="s">
        <v>26</v>
      </c>
      <c r="B7" s="6">
        <v>0.2152978588797107</v>
      </c>
    </row>
    <row r="8" spans="1:2" x14ac:dyDescent="0.3">
      <c r="A8" s="4" t="s">
        <v>55</v>
      </c>
      <c r="B8" s="6">
        <v>1</v>
      </c>
    </row>
    <row r="11" spans="1:2" x14ac:dyDescent="0.3">
      <c r="A11" s="4"/>
      <c r="B11" s="6"/>
    </row>
    <row r="12" spans="1:2" x14ac:dyDescent="0.3">
      <c r="A12" s="4"/>
      <c r="B12" s="6"/>
    </row>
    <row r="13" spans="1:2" x14ac:dyDescent="0.3">
      <c r="A13" s="4"/>
      <c r="B13" s="6"/>
    </row>
    <row r="14" spans="1:2" x14ac:dyDescent="0.3">
      <c r="A14" s="4"/>
      <c r="B14" s="6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8BFA-DFBB-4C50-8BE1-E85A6BC22BCF}">
  <dimension ref="A1:Q1001"/>
  <sheetViews>
    <sheetView topLeftCell="B1" workbookViewId="0">
      <pane ySplit="1" topLeftCell="A978" activePane="bottomLeft" state="frozen"/>
      <selection pane="bottomLeft" activeCell="B1" sqref="B1:Q1001"/>
    </sheetView>
  </sheetViews>
  <sheetFormatPr defaultRowHeight="14.4" x14ac:dyDescent="0.3"/>
  <cols>
    <col min="1" max="1" width="10.109375" bestFit="1" customWidth="1"/>
    <col min="2" max="2" width="10.33203125" bestFit="1" customWidth="1"/>
    <col min="3" max="3" width="9.44140625" bestFit="1" customWidth="1"/>
    <col min="5" max="5" width="13.21875" bestFit="1" customWidth="1"/>
    <col min="6" max="6" width="12.44140625" bestFit="1" customWidth="1"/>
    <col min="7" max="7" width="15.77734375" bestFit="1" customWidth="1"/>
    <col min="12" max="12" width="16.44140625" bestFit="1" customWidth="1"/>
    <col min="13" max="13" width="13.21875" bestFit="1" customWidth="1"/>
    <col min="14" max="14" width="20.6640625" bestFit="1" customWidth="1"/>
    <col min="15" max="15" width="14" bestFit="1" customWidth="1"/>
    <col min="16" max="16" width="14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72</v>
      </c>
      <c r="P1" s="2" t="s">
        <v>74</v>
      </c>
      <c r="Q1" s="2" t="s">
        <v>71</v>
      </c>
    </row>
    <row r="2" spans="1:17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  <c r="O2">
        <f>H2*F2</f>
        <v>2749.5</v>
      </c>
      <c r="P2">
        <f>I2*F2</f>
        <v>4809.9600000000009</v>
      </c>
      <c r="Q2">
        <f>P2-O2</f>
        <v>2060.4600000000009</v>
      </c>
    </row>
    <row r="3" spans="1:17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  <c r="O3">
        <f t="shared" ref="O3:O66" si="0">H3*F3</f>
        <v>64878.63</v>
      </c>
      <c r="P3">
        <f t="shared" ref="P3:P66" si="1">I3*F3</f>
        <v>71560.479999999996</v>
      </c>
      <c r="Q3">
        <f t="shared" ref="Q3:Q66" si="2">P3-O3</f>
        <v>6681.8499999999985</v>
      </c>
    </row>
    <row r="4" spans="1:17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  <c r="O4">
        <f t="shared" si="0"/>
        <v>7846.8</v>
      </c>
      <c r="P4">
        <f t="shared" si="1"/>
        <v>11142</v>
      </c>
      <c r="Q4">
        <f t="shared" si="2"/>
        <v>3295.2</v>
      </c>
    </row>
    <row r="5" spans="1:17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  <c r="O5">
        <f t="shared" si="0"/>
        <v>168871.16999999998</v>
      </c>
      <c r="P5">
        <f t="shared" si="1"/>
        <v>174242.25</v>
      </c>
      <c r="Q5">
        <f t="shared" si="2"/>
        <v>5371.0800000000163</v>
      </c>
    </row>
    <row r="6" spans="1:17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  <c r="O6">
        <f t="shared" si="0"/>
        <v>8285.81</v>
      </c>
      <c r="P6">
        <f t="shared" si="1"/>
        <v>9005.23</v>
      </c>
      <c r="Q6">
        <f t="shared" si="2"/>
        <v>719.42000000000007</v>
      </c>
    </row>
    <row r="7" spans="1:17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  <c r="O7">
        <f t="shared" si="0"/>
        <v>28825.279999999999</v>
      </c>
      <c r="P7">
        <f t="shared" si="1"/>
        <v>35408.32</v>
      </c>
      <c r="Q7">
        <f t="shared" si="2"/>
        <v>6583.0400000000009</v>
      </c>
    </row>
    <row r="8" spans="1:17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  <c r="O8">
        <f t="shared" si="0"/>
        <v>69855.490000000005</v>
      </c>
      <c r="P8">
        <f t="shared" si="1"/>
        <v>76098.61</v>
      </c>
      <c r="Q8">
        <f t="shared" si="2"/>
        <v>6243.1199999999953</v>
      </c>
    </row>
    <row r="9" spans="1:17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  <c r="O9">
        <f t="shared" si="0"/>
        <v>170315.46000000002</v>
      </c>
      <c r="P9">
        <f t="shared" si="1"/>
        <v>182373.9</v>
      </c>
      <c r="Q9">
        <f t="shared" si="2"/>
        <v>12058.439999999973</v>
      </c>
    </row>
    <row r="10" spans="1:17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  <c r="O10">
        <f t="shared" si="0"/>
        <v>22141.8</v>
      </c>
      <c r="P10">
        <f t="shared" si="1"/>
        <v>32863.499999999702</v>
      </c>
      <c r="Q10">
        <f t="shared" si="2"/>
        <v>10721.699999999702</v>
      </c>
    </row>
    <row r="11" spans="1:17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  <c r="O11">
        <f t="shared" si="0"/>
        <v>40110.299999999996</v>
      </c>
      <c r="P11">
        <f t="shared" si="1"/>
        <v>48282.12</v>
      </c>
      <c r="Q11">
        <f t="shared" si="2"/>
        <v>8171.820000000007</v>
      </c>
    </row>
    <row r="12" spans="1:17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  <c r="O12">
        <f t="shared" si="0"/>
        <v>31721.43</v>
      </c>
      <c r="P12">
        <f t="shared" si="1"/>
        <v>32728.799999999999</v>
      </c>
      <c r="Q12">
        <f t="shared" si="2"/>
        <v>1007.369999999999</v>
      </c>
    </row>
    <row r="13" spans="1:17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  <c r="O13">
        <f t="shared" si="0"/>
        <v>47334.829999999994</v>
      </c>
      <c r="P13">
        <f t="shared" si="1"/>
        <v>48909.920000000006</v>
      </c>
      <c r="Q13">
        <f t="shared" si="2"/>
        <v>1575.0900000000111</v>
      </c>
    </row>
    <row r="14" spans="1:17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  <c r="O14">
        <f t="shared" si="0"/>
        <v>13062.21</v>
      </c>
      <c r="P14">
        <f t="shared" si="1"/>
        <v>13462.890000000001</v>
      </c>
      <c r="Q14">
        <f t="shared" si="2"/>
        <v>400.68000000000211</v>
      </c>
    </row>
    <row r="15" spans="1:17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  <c r="O15">
        <f t="shared" si="0"/>
        <v>125708.4</v>
      </c>
      <c r="P15">
        <f t="shared" si="1"/>
        <v>128119.49999999999</v>
      </c>
      <c r="Q15">
        <f t="shared" si="2"/>
        <v>2411.0999999999913</v>
      </c>
    </row>
    <row r="16" spans="1:17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  <c r="O16">
        <f t="shared" si="0"/>
        <v>53281.2</v>
      </c>
      <c r="P16">
        <f t="shared" si="1"/>
        <v>60261.599999999999</v>
      </c>
      <c r="Q16">
        <f t="shared" si="2"/>
        <v>6980.4000000000015</v>
      </c>
    </row>
    <row r="17" spans="1:17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  <c r="O17">
        <f t="shared" si="0"/>
        <v>5817.12</v>
      </c>
      <c r="P17">
        <f t="shared" si="1"/>
        <v>23407.199999999997</v>
      </c>
      <c r="Q17">
        <f t="shared" si="2"/>
        <v>17590.079999999998</v>
      </c>
    </row>
    <row r="18" spans="1:17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  <c r="O18">
        <f t="shared" si="0"/>
        <v>68420.92</v>
      </c>
      <c r="P18">
        <f t="shared" si="1"/>
        <v>75142.549999999988</v>
      </c>
      <c r="Q18">
        <f t="shared" si="2"/>
        <v>6721.6299999999901</v>
      </c>
    </row>
    <row r="19" spans="1:17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  <c r="O19">
        <f t="shared" si="0"/>
        <v>196197.2</v>
      </c>
      <c r="P19">
        <f t="shared" si="1"/>
        <v>201374</v>
      </c>
      <c r="Q19">
        <f t="shared" si="2"/>
        <v>5176.7999999999884</v>
      </c>
    </row>
    <row r="20" spans="1:17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  <c r="O20">
        <f t="shared" si="0"/>
        <v>57937.27</v>
      </c>
      <c r="P20">
        <f t="shared" si="1"/>
        <v>60975.179999999993</v>
      </c>
      <c r="Q20">
        <f t="shared" si="2"/>
        <v>3037.9099999999962</v>
      </c>
    </row>
    <row r="21" spans="1:17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  <c r="O21">
        <f t="shared" si="0"/>
        <v>38150.400000000001</v>
      </c>
      <c r="P21">
        <f t="shared" si="1"/>
        <v>41851.5</v>
      </c>
      <c r="Q21">
        <f t="shared" si="2"/>
        <v>3701.0999999999985</v>
      </c>
    </row>
    <row r="22" spans="1:17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  <c r="O22">
        <f t="shared" si="0"/>
        <v>39583.440000000002</v>
      </c>
      <c r="P22">
        <f t="shared" si="1"/>
        <v>39952.080000000002</v>
      </c>
      <c r="Q22">
        <f t="shared" si="2"/>
        <v>368.63999999999942</v>
      </c>
    </row>
    <row r="23" spans="1:17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  <c r="O23">
        <f t="shared" si="0"/>
        <v>47649.599999999999</v>
      </c>
      <c r="P23">
        <f t="shared" si="1"/>
        <v>50744.2</v>
      </c>
      <c r="Q23">
        <f t="shared" si="2"/>
        <v>3094.5999999999985</v>
      </c>
    </row>
    <row r="24" spans="1:17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  <c r="O24">
        <f t="shared" si="0"/>
        <v>166538.23999999999</v>
      </c>
      <c r="P24">
        <f t="shared" si="1"/>
        <v>188187.56</v>
      </c>
      <c r="Q24">
        <f t="shared" si="2"/>
        <v>21649.320000000007</v>
      </c>
    </row>
    <row r="25" spans="1:17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  <c r="O25">
        <f t="shared" si="0"/>
        <v>69904.689999999988</v>
      </c>
      <c r="P25">
        <f t="shared" si="1"/>
        <v>75695.490000000005</v>
      </c>
      <c r="Q25">
        <f t="shared" si="2"/>
        <v>5790.8000000000175</v>
      </c>
    </row>
    <row r="26" spans="1:17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  <c r="O26">
        <f t="shared" si="0"/>
        <v>68574.5</v>
      </c>
      <c r="P26">
        <f t="shared" si="1"/>
        <v>77289.2</v>
      </c>
      <c r="Q26">
        <f t="shared" si="2"/>
        <v>8714.6999999999971</v>
      </c>
    </row>
    <row r="27" spans="1:17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  <c r="O27">
        <f t="shared" si="0"/>
        <v>105588.90000000001</v>
      </c>
      <c r="P27">
        <f t="shared" si="1"/>
        <v>113239.5</v>
      </c>
      <c r="Q27">
        <f t="shared" si="2"/>
        <v>7650.5999999999913</v>
      </c>
    </row>
    <row r="28" spans="1:17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  <c r="O28">
        <f t="shared" si="0"/>
        <v>33384.449999999997</v>
      </c>
      <c r="P28">
        <f t="shared" si="1"/>
        <v>35781.24</v>
      </c>
      <c r="Q28">
        <f t="shared" si="2"/>
        <v>2396.7900000000009</v>
      </c>
    </row>
    <row r="29" spans="1:17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  <c r="O29">
        <f t="shared" si="0"/>
        <v>20372.850000000002</v>
      </c>
      <c r="P29">
        <f t="shared" si="1"/>
        <v>23030.55</v>
      </c>
      <c r="Q29">
        <f t="shared" si="2"/>
        <v>2657.6999999999971</v>
      </c>
    </row>
    <row r="30" spans="1:17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  <c r="O30">
        <f t="shared" si="0"/>
        <v>195408.13999999998</v>
      </c>
      <c r="P30">
        <f t="shared" si="1"/>
        <v>202784.31999999954</v>
      </c>
      <c r="Q30">
        <f t="shared" si="2"/>
        <v>7376.1799999995565</v>
      </c>
    </row>
    <row r="31" spans="1:17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  <c r="O31">
        <f t="shared" si="0"/>
        <v>3290.89</v>
      </c>
      <c r="P31">
        <f t="shared" si="1"/>
        <v>3317.75</v>
      </c>
      <c r="Q31">
        <f t="shared" si="2"/>
        <v>26.860000000000127</v>
      </c>
    </row>
    <row r="32" spans="1:17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  <c r="O32">
        <f t="shared" si="0"/>
        <v>91760.24</v>
      </c>
      <c r="P32">
        <f t="shared" si="1"/>
        <v>105889.51999999999</v>
      </c>
      <c r="Q32">
        <f t="shared" si="2"/>
        <v>14129.279999999984</v>
      </c>
    </row>
    <row r="33" spans="1:17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  <c r="O33">
        <f t="shared" si="0"/>
        <v>116677.4</v>
      </c>
      <c r="P33">
        <f t="shared" si="1"/>
        <v>131758.20000000001</v>
      </c>
      <c r="Q33">
        <f t="shared" si="2"/>
        <v>15080.800000000017</v>
      </c>
    </row>
    <row r="34" spans="1:17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  <c r="O34">
        <f t="shared" si="0"/>
        <v>6987.2000000000007</v>
      </c>
      <c r="P34">
        <f t="shared" si="1"/>
        <v>8955.5399999999991</v>
      </c>
      <c r="Q34">
        <f t="shared" si="2"/>
        <v>1968.3399999999983</v>
      </c>
    </row>
    <row r="35" spans="1:17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  <c r="O35">
        <f t="shared" si="0"/>
        <v>69271.94</v>
      </c>
      <c r="P35">
        <f t="shared" si="1"/>
        <v>76114.100000000006</v>
      </c>
      <c r="Q35">
        <f t="shared" si="2"/>
        <v>6842.1600000000035</v>
      </c>
    </row>
    <row r="36" spans="1:17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  <c r="O36">
        <f t="shared" si="0"/>
        <v>63615.839999999997</v>
      </c>
      <c r="P36">
        <f t="shared" si="1"/>
        <v>70761.440000000002</v>
      </c>
      <c r="Q36">
        <f t="shared" si="2"/>
        <v>7145.6000000000058</v>
      </c>
    </row>
    <row r="37" spans="1:17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  <c r="O37">
        <f t="shared" si="0"/>
        <v>10273.68</v>
      </c>
      <c r="P37">
        <f t="shared" si="1"/>
        <v>13951.710000000001</v>
      </c>
      <c r="Q37">
        <f t="shared" si="2"/>
        <v>3678.0300000000007</v>
      </c>
    </row>
    <row r="38" spans="1:17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  <c r="O38">
        <f t="shared" si="0"/>
        <v>31056.32</v>
      </c>
      <c r="P38">
        <f t="shared" si="1"/>
        <v>42586.879999999997</v>
      </c>
      <c r="Q38">
        <f t="shared" si="2"/>
        <v>11530.559999999998</v>
      </c>
    </row>
    <row r="39" spans="1:17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  <c r="O39">
        <f t="shared" si="0"/>
        <v>71348.25</v>
      </c>
      <c r="P39">
        <f t="shared" si="1"/>
        <v>73326.899999999994</v>
      </c>
      <c r="Q39">
        <f t="shared" si="2"/>
        <v>1978.6499999999942</v>
      </c>
    </row>
    <row r="40" spans="1:17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  <c r="O40">
        <f t="shared" si="0"/>
        <v>13067.880000000001</v>
      </c>
      <c r="P40">
        <f t="shared" si="1"/>
        <v>18540</v>
      </c>
      <c r="Q40">
        <f t="shared" si="2"/>
        <v>5472.119999999999</v>
      </c>
    </row>
    <row r="41" spans="1:17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  <c r="O41">
        <f t="shared" si="0"/>
        <v>44271.15</v>
      </c>
      <c r="P41">
        <f t="shared" si="1"/>
        <v>47097.93</v>
      </c>
      <c r="Q41">
        <f t="shared" si="2"/>
        <v>2826.7799999999988</v>
      </c>
    </row>
    <row r="42" spans="1:17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  <c r="O42">
        <f t="shared" si="0"/>
        <v>218232.00000000003</v>
      </c>
      <c r="P42">
        <f t="shared" si="1"/>
        <v>232502.40000000002</v>
      </c>
      <c r="Q42">
        <f t="shared" si="2"/>
        <v>14270.399999999994</v>
      </c>
    </row>
    <row r="43" spans="1:17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  <c r="O43">
        <f t="shared" si="0"/>
        <v>51615.34</v>
      </c>
      <c r="P43">
        <f t="shared" si="1"/>
        <v>51952.880000000005</v>
      </c>
      <c r="Q43">
        <f t="shared" si="2"/>
        <v>337.54000000000815</v>
      </c>
    </row>
    <row r="44" spans="1:17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  <c r="O44">
        <f t="shared" si="0"/>
        <v>28104</v>
      </c>
      <c r="P44">
        <f t="shared" si="1"/>
        <v>30707.360000000001</v>
      </c>
      <c r="Q44">
        <f t="shared" si="2"/>
        <v>2603.3600000000006</v>
      </c>
    </row>
    <row r="45" spans="1:17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  <c r="O45">
        <f t="shared" si="0"/>
        <v>34175.919999999998</v>
      </c>
      <c r="P45">
        <f t="shared" si="1"/>
        <v>35342.32</v>
      </c>
      <c r="Q45">
        <f t="shared" si="2"/>
        <v>1166.4000000000015</v>
      </c>
    </row>
    <row r="46" spans="1:17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  <c r="O46">
        <f t="shared" si="0"/>
        <v>16829.640000000003</v>
      </c>
      <c r="P46">
        <f t="shared" si="1"/>
        <v>23048.82</v>
      </c>
      <c r="Q46">
        <f t="shared" si="2"/>
        <v>6219.1799999999967</v>
      </c>
    </row>
    <row r="47" spans="1:17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  <c r="O47">
        <f t="shared" si="0"/>
        <v>42533.760000000002</v>
      </c>
      <c r="P47">
        <f t="shared" si="1"/>
        <v>44683.92</v>
      </c>
      <c r="Q47">
        <f t="shared" si="2"/>
        <v>2150.1599999999962</v>
      </c>
    </row>
    <row r="48" spans="1:17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  <c r="O48">
        <f t="shared" si="0"/>
        <v>2543.2600000000002</v>
      </c>
      <c r="P48">
        <f t="shared" si="1"/>
        <v>2637.91</v>
      </c>
      <c r="Q48">
        <f t="shared" si="2"/>
        <v>94.649999999999636</v>
      </c>
    </row>
    <row r="49" spans="1:17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  <c r="O49">
        <f t="shared" si="0"/>
        <v>178634.9</v>
      </c>
      <c r="P49">
        <f t="shared" si="1"/>
        <v>192170.00999999998</v>
      </c>
      <c r="Q49">
        <f t="shared" si="2"/>
        <v>13535.109999999986</v>
      </c>
    </row>
    <row r="50" spans="1:17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  <c r="O50">
        <f t="shared" si="0"/>
        <v>102612</v>
      </c>
      <c r="P50">
        <f t="shared" si="1"/>
        <v>120298.79999999999</v>
      </c>
      <c r="Q50">
        <f t="shared" si="2"/>
        <v>17686.799999999988</v>
      </c>
    </row>
    <row r="51" spans="1:17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  <c r="O51">
        <f t="shared" si="0"/>
        <v>131047.98</v>
      </c>
      <c r="P51">
        <f t="shared" si="1"/>
        <v>151205.88</v>
      </c>
      <c r="Q51">
        <f t="shared" si="2"/>
        <v>20157.900000000009</v>
      </c>
    </row>
    <row r="52" spans="1:17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  <c r="O52">
        <f t="shared" si="0"/>
        <v>26563.02</v>
      </c>
      <c r="P52">
        <f t="shared" si="1"/>
        <v>27709.77</v>
      </c>
      <c r="Q52">
        <f t="shared" si="2"/>
        <v>1146.75</v>
      </c>
    </row>
    <row r="53" spans="1:17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  <c r="O53">
        <f t="shared" si="0"/>
        <v>94258.709999999992</v>
      </c>
      <c r="P53">
        <f t="shared" si="1"/>
        <v>108357.59999999961</v>
      </c>
      <c r="Q53">
        <f t="shared" si="2"/>
        <v>14098.889999999621</v>
      </c>
    </row>
    <row r="54" spans="1:17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  <c r="O54">
        <f t="shared" si="0"/>
        <v>165612.35</v>
      </c>
      <c r="P54">
        <f t="shared" si="1"/>
        <v>180040.13999999998</v>
      </c>
      <c r="Q54">
        <f t="shared" si="2"/>
        <v>14427.789999999979</v>
      </c>
    </row>
    <row r="55" spans="1:17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  <c r="O55">
        <f t="shared" si="0"/>
        <v>98003.400000000009</v>
      </c>
      <c r="P55">
        <f t="shared" si="1"/>
        <v>103529.45999999999</v>
      </c>
      <c r="Q55">
        <f t="shared" si="2"/>
        <v>5526.0599999999831</v>
      </c>
    </row>
    <row r="56" spans="1:17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  <c r="O56">
        <f t="shared" si="0"/>
        <v>54139.05</v>
      </c>
      <c r="P56">
        <f t="shared" si="1"/>
        <v>54468.170000000006</v>
      </c>
      <c r="Q56">
        <f t="shared" si="2"/>
        <v>329.12000000000262</v>
      </c>
    </row>
    <row r="57" spans="1:17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  <c r="O57">
        <f t="shared" si="0"/>
        <v>75203.7</v>
      </c>
      <c r="P57">
        <f t="shared" si="1"/>
        <v>86687.7</v>
      </c>
      <c r="Q57">
        <f t="shared" si="2"/>
        <v>11484</v>
      </c>
    </row>
    <row r="58" spans="1:17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  <c r="O58">
        <f t="shared" si="0"/>
        <v>85727.679999999993</v>
      </c>
      <c r="P58">
        <f t="shared" si="1"/>
        <v>100872.95999999969</v>
      </c>
      <c r="Q58">
        <f t="shared" si="2"/>
        <v>15145.279999999693</v>
      </c>
    </row>
    <row r="59" spans="1:17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  <c r="O59">
        <f t="shared" si="0"/>
        <v>108497.70000000001</v>
      </c>
      <c r="P59">
        <f t="shared" si="1"/>
        <v>117770.16</v>
      </c>
      <c r="Q59">
        <f t="shared" si="2"/>
        <v>9272.4599999999919</v>
      </c>
    </row>
    <row r="60" spans="1:17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  <c r="O60">
        <f t="shared" si="0"/>
        <v>86906.61</v>
      </c>
      <c r="P60">
        <f t="shared" si="1"/>
        <v>91595.7</v>
      </c>
      <c r="Q60">
        <f t="shared" si="2"/>
        <v>4689.0899999999965</v>
      </c>
    </row>
    <row r="61" spans="1:17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  <c r="O61">
        <f t="shared" si="0"/>
        <v>73457.58</v>
      </c>
      <c r="P61">
        <f t="shared" si="1"/>
        <v>79071.509999999995</v>
      </c>
      <c r="Q61">
        <f t="shared" si="2"/>
        <v>5613.929999999993</v>
      </c>
    </row>
    <row r="62" spans="1:17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  <c r="O62">
        <f t="shared" si="0"/>
        <v>184966.39999999999</v>
      </c>
      <c r="P62">
        <f t="shared" si="1"/>
        <v>189279.19999999998</v>
      </c>
      <c r="Q62">
        <f t="shared" si="2"/>
        <v>4312.7999999999884</v>
      </c>
    </row>
    <row r="63" spans="1:17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  <c r="O63">
        <f t="shared" si="0"/>
        <v>94543.8</v>
      </c>
      <c r="P63">
        <f t="shared" si="1"/>
        <v>103232.51</v>
      </c>
      <c r="Q63">
        <f t="shared" si="2"/>
        <v>8688.7099999999919</v>
      </c>
    </row>
    <row r="64" spans="1:17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  <c r="O64">
        <f t="shared" si="0"/>
        <v>16987.38</v>
      </c>
      <c r="P64">
        <f t="shared" si="1"/>
        <v>19241.88</v>
      </c>
      <c r="Q64">
        <f t="shared" si="2"/>
        <v>2254.5</v>
      </c>
    </row>
    <row r="65" spans="1:17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  <c r="O65">
        <f t="shared" si="0"/>
        <v>74216.12</v>
      </c>
      <c r="P65">
        <f t="shared" si="1"/>
        <v>76004.72</v>
      </c>
      <c r="Q65">
        <f t="shared" si="2"/>
        <v>1788.6000000000058</v>
      </c>
    </row>
    <row r="66" spans="1:17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  <c r="O66">
        <f t="shared" si="0"/>
        <v>176138.74</v>
      </c>
      <c r="P66">
        <f t="shared" si="1"/>
        <v>192866.71999999997</v>
      </c>
      <c r="Q66">
        <f t="shared" si="2"/>
        <v>16727.979999999981</v>
      </c>
    </row>
    <row r="67" spans="1:17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  <c r="O67">
        <f t="shared" ref="O67:O130" si="3">H67*F67</f>
        <v>115250.56</v>
      </c>
      <c r="P67">
        <f t="shared" ref="P67:P130" si="4">I67*F67</f>
        <v>120500.86</v>
      </c>
      <c r="Q67">
        <f t="shared" ref="Q67:Q130" si="5">P67-O67</f>
        <v>5250.3000000000029</v>
      </c>
    </row>
    <row r="68" spans="1:17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  <c r="O68">
        <f t="shared" si="3"/>
        <v>185975.55</v>
      </c>
      <c r="P68">
        <f t="shared" si="4"/>
        <v>208084.50000000003</v>
      </c>
      <c r="Q68">
        <f t="shared" si="5"/>
        <v>22108.950000000041</v>
      </c>
    </row>
    <row r="69" spans="1:17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  <c r="O69">
        <f t="shared" si="3"/>
        <v>27676.880000000001</v>
      </c>
      <c r="P69">
        <f t="shared" si="4"/>
        <v>29257.84</v>
      </c>
      <c r="Q69">
        <f t="shared" si="5"/>
        <v>1580.9599999999991</v>
      </c>
    </row>
    <row r="70" spans="1:17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  <c r="O70">
        <f t="shared" si="3"/>
        <v>114065.28</v>
      </c>
      <c r="P70">
        <f t="shared" si="4"/>
        <v>118048.84</v>
      </c>
      <c r="Q70">
        <f t="shared" si="5"/>
        <v>3983.5599999999977</v>
      </c>
    </row>
    <row r="71" spans="1:17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  <c r="O71">
        <f t="shared" si="3"/>
        <v>61107.899999999994</v>
      </c>
      <c r="P71">
        <f t="shared" si="4"/>
        <v>70042.559999999517</v>
      </c>
      <c r="Q71">
        <f t="shared" si="5"/>
        <v>8934.6599999995233</v>
      </c>
    </row>
    <row r="72" spans="1:17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  <c r="O72">
        <f t="shared" si="3"/>
        <v>75554.150000000009</v>
      </c>
      <c r="P72">
        <f t="shared" si="4"/>
        <v>83453.3</v>
      </c>
      <c r="Q72">
        <f t="shared" si="5"/>
        <v>7899.1499999999942</v>
      </c>
    </row>
    <row r="73" spans="1:17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  <c r="O73">
        <f t="shared" si="3"/>
        <v>53243.63</v>
      </c>
      <c r="P73">
        <f t="shared" si="4"/>
        <v>53727.19</v>
      </c>
      <c r="Q73">
        <f t="shared" si="5"/>
        <v>483.56000000000495</v>
      </c>
    </row>
    <row r="74" spans="1:17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  <c r="O74">
        <f t="shared" si="3"/>
        <v>79342.559999999998</v>
      </c>
      <c r="P74">
        <f t="shared" si="4"/>
        <v>86382.48</v>
      </c>
      <c r="Q74">
        <f t="shared" si="5"/>
        <v>7039.9199999999983</v>
      </c>
    </row>
    <row r="75" spans="1:17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  <c r="O75">
        <f t="shared" si="3"/>
        <v>139344.24000000002</v>
      </c>
      <c r="P75">
        <f t="shared" si="4"/>
        <v>154183.4</v>
      </c>
      <c r="Q75">
        <f t="shared" si="5"/>
        <v>14839.159999999974</v>
      </c>
    </row>
    <row r="76" spans="1:17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  <c r="O76">
        <f t="shared" si="3"/>
        <v>98030.94</v>
      </c>
      <c r="P76">
        <f t="shared" si="4"/>
        <v>105844.62000000001</v>
      </c>
      <c r="Q76">
        <f t="shared" si="5"/>
        <v>7813.6800000000076</v>
      </c>
    </row>
    <row r="77" spans="1:17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  <c r="O77">
        <f t="shared" si="3"/>
        <v>5906.46</v>
      </c>
      <c r="P77">
        <f t="shared" si="4"/>
        <v>5955.04</v>
      </c>
      <c r="Q77">
        <f t="shared" si="5"/>
        <v>48.579999999999927</v>
      </c>
    </row>
    <row r="78" spans="1:17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  <c r="O78">
        <f t="shared" si="3"/>
        <v>106164.40000000001</v>
      </c>
      <c r="P78">
        <f t="shared" si="4"/>
        <v>117172.8</v>
      </c>
      <c r="Q78">
        <f t="shared" si="5"/>
        <v>11008.399999999994</v>
      </c>
    </row>
    <row r="79" spans="1:17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  <c r="O79">
        <f t="shared" si="3"/>
        <v>72363.210000000006</v>
      </c>
      <c r="P79">
        <f t="shared" si="4"/>
        <v>73045.69</v>
      </c>
      <c r="Q79">
        <f t="shared" si="5"/>
        <v>682.47999999999593</v>
      </c>
    </row>
    <row r="80" spans="1:17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  <c r="O80">
        <f t="shared" si="3"/>
        <v>139529.91</v>
      </c>
      <c r="P80">
        <f t="shared" si="4"/>
        <v>153318.75</v>
      </c>
      <c r="Q80">
        <f t="shared" si="5"/>
        <v>13788.839999999997</v>
      </c>
    </row>
    <row r="81" spans="1:17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  <c r="O81">
        <f t="shared" si="3"/>
        <v>28171.919999999998</v>
      </c>
      <c r="P81">
        <f t="shared" si="4"/>
        <v>29216.600000000002</v>
      </c>
      <c r="Q81">
        <f t="shared" si="5"/>
        <v>1044.6800000000039</v>
      </c>
    </row>
    <row r="82" spans="1:17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  <c r="O82">
        <f t="shared" si="3"/>
        <v>40510.660000000003</v>
      </c>
      <c r="P82">
        <f t="shared" si="4"/>
        <v>48275.41</v>
      </c>
      <c r="Q82">
        <f t="shared" si="5"/>
        <v>7764.75</v>
      </c>
    </row>
    <row r="83" spans="1:17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  <c r="O83">
        <f t="shared" si="3"/>
        <v>14333.699999999999</v>
      </c>
      <c r="P83">
        <f t="shared" si="4"/>
        <v>16457.82</v>
      </c>
      <c r="Q83">
        <f t="shared" si="5"/>
        <v>2124.1200000000008</v>
      </c>
    </row>
    <row r="84" spans="1:17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  <c r="O84">
        <f t="shared" si="3"/>
        <v>36521.99</v>
      </c>
      <c r="P84">
        <f t="shared" si="4"/>
        <v>41435.769999999997</v>
      </c>
      <c r="Q84">
        <f t="shared" si="5"/>
        <v>4913.7799999999988</v>
      </c>
    </row>
    <row r="85" spans="1:17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  <c r="O85">
        <f t="shared" si="3"/>
        <v>99202.8</v>
      </c>
      <c r="P85">
        <f t="shared" si="4"/>
        <v>107803.72</v>
      </c>
      <c r="Q85">
        <f t="shared" si="5"/>
        <v>8600.9199999999983</v>
      </c>
    </row>
    <row r="86" spans="1:17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  <c r="O86">
        <f t="shared" si="3"/>
        <v>58656.639999999999</v>
      </c>
      <c r="P86">
        <f t="shared" si="4"/>
        <v>60729.479999999996</v>
      </c>
      <c r="Q86">
        <f t="shared" si="5"/>
        <v>2072.8399999999965</v>
      </c>
    </row>
    <row r="87" spans="1:17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  <c r="O87">
        <f t="shared" si="3"/>
        <v>2073.52</v>
      </c>
      <c r="P87">
        <f t="shared" si="4"/>
        <v>2378.6999999999998</v>
      </c>
      <c r="Q87">
        <f t="shared" si="5"/>
        <v>305.17999999999984</v>
      </c>
    </row>
    <row r="88" spans="1:17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  <c r="O88">
        <f t="shared" si="3"/>
        <v>79465.98</v>
      </c>
      <c r="P88">
        <f t="shared" si="4"/>
        <v>96026</v>
      </c>
      <c r="Q88">
        <f t="shared" si="5"/>
        <v>16560.020000000004</v>
      </c>
    </row>
    <row r="89" spans="1:17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  <c r="O89">
        <f t="shared" si="3"/>
        <v>15087.49</v>
      </c>
      <c r="P89">
        <f t="shared" si="4"/>
        <v>31855.15</v>
      </c>
      <c r="Q89">
        <f t="shared" si="5"/>
        <v>16767.660000000003</v>
      </c>
    </row>
    <row r="90" spans="1:17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  <c r="O90">
        <f t="shared" si="3"/>
        <v>11600.56</v>
      </c>
      <c r="P90">
        <f t="shared" si="4"/>
        <v>11642.039999999961</v>
      </c>
      <c r="Q90">
        <f t="shared" si="5"/>
        <v>41.479999999961365</v>
      </c>
    </row>
    <row r="91" spans="1:17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  <c r="O91">
        <f t="shared" si="3"/>
        <v>94062.98000000001</v>
      </c>
      <c r="P91">
        <f t="shared" si="4"/>
        <v>100687.84000000001</v>
      </c>
      <c r="Q91">
        <f t="shared" si="5"/>
        <v>6624.8600000000006</v>
      </c>
    </row>
    <row r="92" spans="1:17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  <c r="O92">
        <f t="shared" si="3"/>
        <v>94644.42</v>
      </c>
      <c r="P92">
        <f t="shared" si="4"/>
        <v>104068.38</v>
      </c>
      <c r="Q92">
        <f t="shared" si="5"/>
        <v>9423.9600000000064</v>
      </c>
    </row>
    <row r="93" spans="1:17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  <c r="O93">
        <f t="shared" si="3"/>
        <v>89863.55</v>
      </c>
      <c r="P93">
        <f t="shared" si="4"/>
        <v>105209.86</v>
      </c>
      <c r="Q93">
        <f t="shared" si="5"/>
        <v>15346.309999999998</v>
      </c>
    </row>
    <row r="94" spans="1:17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  <c r="O94">
        <f t="shared" si="3"/>
        <v>20683</v>
      </c>
      <c r="P94">
        <f t="shared" si="4"/>
        <v>22833.86</v>
      </c>
      <c r="Q94">
        <f t="shared" si="5"/>
        <v>2150.8600000000006</v>
      </c>
    </row>
    <row r="95" spans="1:17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  <c r="O95">
        <f t="shared" si="3"/>
        <v>37823.040000000001</v>
      </c>
      <c r="P95">
        <f t="shared" si="4"/>
        <v>42023.88</v>
      </c>
      <c r="Q95">
        <f t="shared" si="5"/>
        <v>4200.8399999999965</v>
      </c>
    </row>
    <row r="96" spans="1:17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  <c r="O96">
        <f t="shared" si="3"/>
        <v>35752.339999999997</v>
      </c>
      <c r="P96">
        <f t="shared" si="4"/>
        <v>37477.049999999996</v>
      </c>
      <c r="Q96">
        <f t="shared" si="5"/>
        <v>1724.7099999999991</v>
      </c>
    </row>
    <row r="97" spans="1:17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  <c r="O97">
        <f t="shared" si="3"/>
        <v>34397.760000000002</v>
      </c>
      <c r="P97">
        <f t="shared" si="4"/>
        <v>47759.360000000001</v>
      </c>
      <c r="Q97">
        <f t="shared" si="5"/>
        <v>13361.599999999999</v>
      </c>
    </row>
    <row r="98" spans="1:17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  <c r="O98">
        <f t="shared" si="3"/>
        <v>46625.39</v>
      </c>
      <c r="P98">
        <f t="shared" si="4"/>
        <v>50653.88</v>
      </c>
      <c r="Q98">
        <f t="shared" si="5"/>
        <v>4028.489999999998</v>
      </c>
    </row>
    <row r="99" spans="1:17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  <c r="O99">
        <f t="shared" si="3"/>
        <v>49053.22</v>
      </c>
      <c r="P99">
        <f t="shared" si="4"/>
        <v>59243.770000000004</v>
      </c>
      <c r="Q99">
        <f t="shared" si="5"/>
        <v>10190.550000000003</v>
      </c>
    </row>
    <row r="100" spans="1:17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  <c r="O100">
        <f t="shared" si="3"/>
        <v>153078.12</v>
      </c>
      <c r="P100">
        <f t="shared" si="4"/>
        <v>169929.72000000003</v>
      </c>
      <c r="Q100">
        <f t="shared" si="5"/>
        <v>16851.600000000035</v>
      </c>
    </row>
    <row r="101" spans="1:17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  <c r="O101">
        <f t="shared" si="3"/>
        <v>92758.54</v>
      </c>
      <c r="P101">
        <f t="shared" si="4"/>
        <v>107578.35999999999</v>
      </c>
      <c r="Q101">
        <f t="shared" si="5"/>
        <v>14819.819999999992</v>
      </c>
    </row>
    <row r="102" spans="1:17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  <c r="O102">
        <f t="shared" si="3"/>
        <v>24044.12</v>
      </c>
      <c r="P102">
        <f t="shared" si="4"/>
        <v>32600.769999999997</v>
      </c>
      <c r="Q102">
        <f t="shared" si="5"/>
        <v>8556.6499999999978</v>
      </c>
    </row>
    <row r="103" spans="1:17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  <c r="O103">
        <f t="shared" si="3"/>
        <v>142485.35</v>
      </c>
      <c r="P103">
        <f t="shared" si="4"/>
        <v>150664.5</v>
      </c>
      <c r="Q103">
        <f t="shared" si="5"/>
        <v>8179.1499999999942</v>
      </c>
    </row>
    <row r="104" spans="1:17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  <c r="O104">
        <f t="shared" si="3"/>
        <v>80364.3</v>
      </c>
      <c r="P104">
        <f t="shared" si="4"/>
        <v>84192.42</v>
      </c>
      <c r="Q104">
        <f t="shared" si="5"/>
        <v>3828.1199999999953</v>
      </c>
    </row>
    <row r="105" spans="1:17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  <c r="O105">
        <f t="shared" si="3"/>
        <v>24074.400000000001</v>
      </c>
      <c r="P105">
        <f t="shared" si="4"/>
        <v>42701.2</v>
      </c>
      <c r="Q105">
        <f t="shared" si="5"/>
        <v>18626.799999999996</v>
      </c>
    </row>
    <row r="106" spans="1:17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  <c r="O106">
        <f t="shared" si="3"/>
        <v>80458.840000000011</v>
      </c>
      <c r="P106">
        <f t="shared" si="4"/>
        <v>87032.400000000009</v>
      </c>
      <c r="Q106">
        <f t="shared" si="5"/>
        <v>6573.5599999999977</v>
      </c>
    </row>
    <row r="107" spans="1:17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  <c r="O107">
        <f t="shared" si="3"/>
        <v>2928.74</v>
      </c>
      <c r="P107">
        <f t="shared" si="4"/>
        <v>3027.74</v>
      </c>
      <c r="Q107">
        <f t="shared" si="5"/>
        <v>99</v>
      </c>
    </row>
    <row r="108" spans="1:17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  <c r="O108">
        <f t="shared" si="3"/>
        <v>150685.07999999999</v>
      </c>
      <c r="P108">
        <f t="shared" si="4"/>
        <v>157328.22</v>
      </c>
      <c r="Q108">
        <f t="shared" si="5"/>
        <v>6643.140000000014</v>
      </c>
    </row>
    <row r="109" spans="1:17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  <c r="O109">
        <f t="shared" si="3"/>
        <v>22303.62</v>
      </c>
      <c r="P109">
        <f t="shared" si="4"/>
        <v>22931.64</v>
      </c>
      <c r="Q109">
        <f t="shared" si="5"/>
        <v>628.02000000000044</v>
      </c>
    </row>
    <row r="110" spans="1:17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  <c r="O110">
        <f t="shared" si="3"/>
        <v>107840.16</v>
      </c>
      <c r="P110">
        <f t="shared" si="4"/>
        <v>119334.72</v>
      </c>
      <c r="Q110">
        <f t="shared" si="5"/>
        <v>11494.559999999998</v>
      </c>
    </row>
    <row r="111" spans="1:17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  <c r="O111">
        <f t="shared" si="3"/>
        <v>57908.800000000003</v>
      </c>
      <c r="P111">
        <f t="shared" si="4"/>
        <v>75030</v>
      </c>
      <c r="Q111">
        <f t="shared" si="5"/>
        <v>17121.199999999997</v>
      </c>
    </row>
    <row r="112" spans="1:17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  <c r="O112">
        <f t="shared" si="3"/>
        <v>14873.76</v>
      </c>
      <c r="P112">
        <f t="shared" si="4"/>
        <v>30299.609999999997</v>
      </c>
      <c r="Q112">
        <f t="shared" si="5"/>
        <v>15425.849999999997</v>
      </c>
    </row>
    <row r="113" spans="1:17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  <c r="O113">
        <f t="shared" si="3"/>
        <v>52670.879999999997</v>
      </c>
      <c r="P113">
        <f t="shared" si="4"/>
        <v>58274.639999999883</v>
      </c>
      <c r="Q113">
        <f t="shared" si="5"/>
        <v>5603.7599999998856</v>
      </c>
    </row>
    <row r="114" spans="1:17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  <c r="O114">
        <f t="shared" si="3"/>
        <v>29263.279999999999</v>
      </c>
      <c r="P114">
        <f t="shared" si="4"/>
        <v>29834.16</v>
      </c>
      <c r="Q114">
        <f t="shared" si="5"/>
        <v>570.88000000000102</v>
      </c>
    </row>
    <row r="115" spans="1:17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  <c r="O115">
        <f t="shared" si="3"/>
        <v>37013.760000000002</v>
      </c>
      <c r="P115">
        <f t="shared" si="4"/>
        <v>41746.800000000003</v>
      </c>
      <c r="Q115">
        <f t="shared" si="5"/>
        <v>4733.0400000000009</v>
      </c>
    </row>
    <row r="116" spans="1:17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  <c r="O116">
        <f t="shared" si="3"/>
        <v>48270.400000000001</v>
      </c>
      <c r="P116">
        <f t="shared" si="4"/>
        <v>48651.68</v>
      </c>
      <c r="Q116">
        <f t="shared" si="5"/>
        <v>381.27999999999884</v>
      </c>
    </row>
    <row r="117" spans="1:17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  <c r="O117">
        <f t="shared" si="3"/>
        <v>4185.04</v>
      </c>
      <c r="P117">
        <f t="shared" si="4"/>
        <v>5901.16</v>
      </c>
      <c r="Q117">
        <f t="shared" si="5"/>
        <v>1716.12</v>
      </c>
    </row>
    <row r="118" spans="1:17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  <c r="O118">
        <f t="shared" si="3"/>
        <v>169353.46</v>
      </c>
      <c r="P118">
        <f t="shared" si="4"/>
        <v>176413.48</v>
      </c>
      <c r="Q118">
        <f t="shared" si="5"/>
        <v>7060.0200000000186</v>
      </c>
    </row>
    <row r="119" spans="1:17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  <c r="O119">
        <f t="shared" si="3"/>
        <v>27226.76</v>
      </c>
      <c r="P119">
        <f t="shared" si="4"/>
        <v>41273.759999999995</v>
      </c>
      <c r="Q119">
        <f t="shared" si="5"/>
        <v>14046.999999999996</v>
      </c>
    </row>
    <row r="120" spans="1:17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  <c r="O120">
        <f t="shared" si="3"/>
        <v>1862.7299999999998</v>
      </c>
      <c r="P120">
        <f t="shared" si="4"/>
        <v>11590.83</v>
      </c>
      <c r="Q120">
        <f t="shared" si="5"/>
        <v>9728.1</v>
      </c>
    </row>
    <row r="121" spans="1:17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  <c r="O121">
        <f t="shared" si="3"/>
        <v>22814.46</v>
      </c>
      <c r="P121">
        <f t="shared" si="4"/>
        <v>24800.04</v>
      </c>
      <c r="Q121">
        <f t="shared" si="5"/>
        <v>1985.5800000000017</v>
      </c>
    </row>
    <row r="122" spans="1:17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  <c r="O122">
        <f t="shared" si="3"/>
        <v>138014.56</v>
      </c>
      <c r="P122">
        <f t="shared" si="4"/>
        <v>145542.07999999999</v>
      </c>
      <c r="Q122">
        <f t="shared" si="5"/>
        <v>7527.5199999999895</v>
      </c>
    </row>
    <row r="123" spans="1:17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  <c r="O123">
        <f t="shared" si="3"/>
        <v>46654.080000000002</v>
      </c>
      <c r="P123">
        <f t="shared" si="4"/>
        <v>54357.760000000002</v>
      </c>
      <c r="Q123">
        <f t="shared" si="5"/>
        <v>7703.68</v>
      </c>
    </row>
    <row r="124" spans="1:17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  <c r="O124">
        <f t="shared" si="3"/>
        <v>3837.96</v>
      </c>
      <c r="P124">
        <f t="shared" si="4"/>
        <v>9629.16</v>
      </c>
      <c r="Q124">
        <f t="shared" si="5"/>
        <v>5791.2</v>
      </c>
    </row>
    <row r="125" spans="1:17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  <c r="O125">
        <f t="shared" si="3"/>
        <v>49740.12</v>
      </c>
      <c r="P125">
        <f t="shared" si="4"/>
        <v>54446.54</v>
      </c>
      <c r="Q125">
        <f t="shared" si="5"/>
        <v>4706.4199999999983</v>
      </c>
    </row>
    <row r="126" spans="1:17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  <c r="O126">
        <f t="shared" si="3"/>
        <v>60504.72</v>
      </c>
      <c r="P126">
        <f t="shared" si="4"/>
        <v>66385.200000000012</v>
      </c>
      <c r="Q126">
        <f t="shared" si="5"/>
        <v>5880.4800000000105</v>
      </c>
    </row>
    <row r="127" spans="1:17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  <c r="O127">
        <f t="shared" si="3"/>
        <v>15708.98</v>
      </c>
      <c r="P127">
        <f t="shared" si="4"/>
        <v>22522.639999999999</v>
      </c>
      <c r="Q127">
        <f t="shared" si="5"/>
        <v>6813.66</v>
      </c>
    </row>
    <row r="128" spans="1:17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  <c r="O128">
        <f t="shared" si="3"/>
        <v>196627.5</v>
      </c>
      <c r="P128">
        <f t="shared" si="4"/>
        <v>197185.05000000002</v>
      </c>
      <c r="Q128">
        <f t="shared" si="5"/>
        <v>557.55000000001746</v>
      </c>
    </row>
    <row r="129" spans="1:17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  <c r="O129">
        <f t="shared" si="3"/>
        <v>12029.75</v>
      </c>
      <c r="P129">
        <f t="shared" si="4"/>
        <v>17335</v>
      </c>
      <c r="Q129">
        <f t="shared" si="5"/>
        <v>5305.25</v>
      </c>
    </row>
    <row r="130" spans="1:17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  <c r="O130">
        <f t="shared" si="3"/>
        <v>83726.700000000012</v>
      </c>
      <c r="P130">
        <f t="shared" si="4"/>
        <v>85740.18</v>
      </c>
      <c r="Q130">
        <f t="shared" si="5"/>
        <v>2013.4799999999814</v>
      </c>
    </row>
    <row r="131" spans="1:17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  <c r="O131">
        <f t="shared" ref="O131:O194" si="6">H131*F131</f>
        <v>10417.530000000001</v>
      </c>
      <c r="P131">
        <f t="shared" ref="P131:P194" si="7">I131*F131</f>
        <v>11196</v>
      </c>
      <c r="Q131">
        <f t="shared" ref="Q131:Q194" si="8">P131-O131</f>
        <v>778.46999999999935</v>
      </c>
    </row>
    <row r="132" spans="1:17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  <c r="O132">
        <f t="shared" si="6"/>
        <v>32296.080000000002</v>
      </c>
      <c r="P132">
        <f t="shared" si="7"/>
        <v>32826.239999999998</v>
      </c>
      <c r="Q132">
        <f t="shared" si="8"/>
        <v>530.15999999999622</v>
      </c>
    </row>
    <row r="133" spans="1:17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  <c r="O133">
        <f t="shared" si="6"/>
        <v>131879.57999999999</v>
      </c>
      <c r="P133">
        <f t="shared" si="7"/>
        <v>140673.54</v>
      </c>
      <c r="Q133">
        <f t="shared" si="8"/>
        <v>8793.960000000021</v>
      </c>
    </row>
    <row r="134" spans="1:17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  <c r="O134">
        <f t="shared" si="6"/>
        <v>37399.14</v>
      </c>
      <c r="P134">
        <f t="shared" si="7"/>
        <v>38462.400000000001</v>
      </c>
      <c r="Q134">
        <f t="shared" si="8"/>
        <v>1063.260000000002</v>
      </c>
    </row>
    <row r="135" spans="1:17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  <c r="O135">
        <f t="shared" si="6"/>
        <v>25796.42</v>
      </c>
      <c r="P135">
        <f t="shared" si="7"/>
        <v>32850.74</v>
      </c>
      <c r="Q135">
        <f t="shared" si="8"/>
        <v>7054.32</v>
      </c>
    </row>
    <row r="136" spans="1:17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  <c r="O136">
        <f t="shared" si="6"/>
        <v>91804.799999999988</v>
      </c>
      <c r="P136">
        <f t="shared" si="7"/>
        <v>101765.59999999999</v>
      </c>
      <c r="Q136">
        <f t="shared" si="8"/>
        <v>9960.8000000000029</v>
      </c>
    </row>
    <row r="137" spans="1:17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  <c r="O137">
        <f t="shared" si="6"/>
        <v>111604.40000000001</v>
      </c>
      <c r="P137">
        <f t="shared" si="7"/>
        <v>127694.79999999999</v>
      </c>
      <c r="Q137">
        <f t="shared" si="8"/>
        <v>16090.39999999998</v>
      </c>
    </row>
    <row r="138" spans="1:17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  <c r="O138">
        <f t="shared" si="6"/>
        <v>15312</v>
      </c>
      <c r="P138">
        <f t="shared" si="7"/>
        <v>19555.599999999999</v>
      </c>
      <c r="Q138">
        <f t="shared" si="8"/>
        <v>4243.5999999999985</v>
      </c>
    </row>
    <row r="139" spans="1:17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  <c r="O139">
        <f t="shared" si="6"/>
        <v>41472.25</v>
      </c>
      <c r="P139">
        <f t="shared" si="7"/>
        <v>47576.569999999811</v>
      </c>
      <c r="Q139">
        <f t="shared" si="8"/>
        <v>6104.3199999998105</v>
      </c>
    </row>
    <row r="140" spans="1:17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  <c r="O140">
        <f t="shared" si="6"/>
        <v>4786.0499999999993</v>
      </c>
      <c r="P140">
        <f t="shared" si="7"/>
        <v>4877.1299999999701</v>
      </c>
      <c r="Q140">
        <f t="shared" si="8"/>
        <v>91.079999999970823</v>
      </c>
    </row>
    <row r="141" spans="1:17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  <c r="O141">
        <f t="shared" si="6"/>
        <v>87343.200000000012</v>
      </c>
      <c r="P141">
        <f t="shared" si="7"/>
        <v>90015.12</v>
      </c>
      <c r="Q141">
        <f t="shared" si="8"/>
        <v>2671.9199999999837</v>
      </c>
    </row>
    <row r="142" spans="1:17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  <c r="O142">
        <f t="shared" si="6"/>
        <v>19958.45</v>
      </c>
      <c r="P142">
        <f t="shared" si="7"/>
        <v>22274.850000000002</v>
      </c>
      <c r="Q142">
        <f t="shared" si="8"/>
        <v>2316.4000000000015</v>
      </c>
    </row>
    <row r="143" spans="1:17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  <c r="O143">
        <f t="shared" si="6"/>
        <v>12519.119999999999</v>
      </c>
      <c r="P143">
        <f t="shared" si="7"/>
        <v>13087.32</v>
      </c>
      <c r="Q143">
        <f t="shared" si="8"/>
        <v>568.20000000000073</v>
      </c>
    </row>
    <row r="144" spans="1:17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  <c r="O144">
        <f t="shared" si="6"/>
        <v>133097.85</v>
      </c>
      <c r="P144">
        <f t="shared" si="7"/>
        <v>134738.91</v>
      </c>
      <c r="Q144">
        <f t="shared" si="8"/>
        <v>1641.0599999999977</v>
      </c>
    </row>
    <row r="145" spans="1:17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  <c r="O145">
        <f t="shared" si="6"/>
        <v>63469.760000000002</v>
      </c>
      <c r="P145">
        <f t="shared" si="7"/>
        <v>69136.639999999999</v>
      </c>
      <c r="Q145">
        <f t="shared" si="8"/>
        <v>5666.8799999999974</v>
      </c>
    </row>
    <row r="146" spans="1:17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  <c r="O146">
        <f t="shared" si="6"/>
        <v>148315.65</v>
      </c>
      <c r="P146">
        <f t="shared" si="7"/>
        <v>155995.41999999998</v>
      </c>
      <c r="Q146">
        <f t="shared" si="8"/>
        <v>7679.7699999999895</v>
      </c>
    </row>
    <row r="147" spans="1:17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  <c r="O147">
        <f t="shared" si="6"/>
        <v>25937.100000000002</v>
      </c>
      <c r="P147">
        <f t="shared" si="7"/>
        <v>28063.200000000001</v>
      </c>
      <c r="Q147">
        <f t="shared" si="8"/>
        <v>2126.0999999999985</v>
      </c>
    </row>
    <row r="148" spans="1:17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  <c r="O148">
        <f t="shared" si="6"/>
        <v>96101.25</v>
      </c>
      <c r="P148">
        <f t="shared" si="7"/>
        <v>113566.6</v>
      </c>
      <c r="Q148">
        <f t="shared" si="8"/>
        <v>17465.350000000006</v>
      </c>
    </row>
    <row r="149" spans="1:17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  <c r="O149">
        <f t="shared" si="6"/>
        <v>3039.48</v>
      </c>
      <c r="P149">
        <f t="shared" si="7"/>
        <v>8205.36</v>
      </c>
      <c r="Q149">
        <f t="shared" si="8"/>
        <v>5165.880000000001</v>
      </c>
    </row>
    <row r="150" spans="1:17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  <c r="O150">
        <f t="shared" si="6"/>
        <v>153212.08000000002</v>
      </c>
      <c r="P150">
        <f t="shared" si="7"/>
        <v>161817.57</v>
      </c>
      <c r="Q150">
        <f t="shared" si="8"/>
        <v>8605.4899999999907</v>
      </c>
    </row>
    <row r="151" spans="1:17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  <c r="O151">
        <f t="shared" si="6"/>
        <v>99329.12</v>
      </c>
      <c r="P151">
        <f t="shared" si="7"/>
        <v>120903.64</v>
      </c>
      <c r="Q151">
        <f t="shared" si="8"/>
        <v>21574.520000000004</v>
      </c>
    </row>
    <row r="152" spans="1:17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  <c r="O152">
        <f t="shared" si="6"/>
        <v>3876.8600000000006</v>
      </c>
      <c r="P152">
        <f t="shared" si="7"/>
        <v>12419.42</v>
      </c>
      <c r="Q152">
        <f t="shared" si="8"/>
        <v>8542.56</v>
      </c>
    </row>
    <row r="153" spans="1:17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  <c r="O153">
        <f t="shared" si="6"/>
        <v>16892.27</v>
      </c>
      <c r="P153">
        <f t="shared" si="7"/>
        <v>34451</v>
      </c>
      <c r="Q153">
        <f t="shared" si="8"/>
        <v>17558.73</v>
      </c>
    </row>
    <row r="154" spans="1:17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  <c r="O154">
        <f t="shared" si="6"/>
        <v>66910.64</v>
      </c>
      <c r="P154">
        <f t="shared" si="7"/>
        <v>67775.600000000006</v>
      </c>
      <c r="Q154">
        <f t="shared" si="8"/>
        <v>864.9600000000064</v>
      </c>
    </row>
    <row r="155" spans="1:17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  <c r="O155">
        <f t="shared" si="6"/>
        <v>67572.62</v>
      </c>
      <c r="P155">
        <f t="shared" si="7"/>
        <v>69173.19</v>
      </c>
      <c r="Q155">
        <f t="shared" si="8"/>
        <v>1600.570000000007</v>
      </c>
    </row>
    <row r="156" spans="1:17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  <c r="O156">
        <f t="shared" si="6"/>
        <v>72782.11</v>
      </c>
      <c r="P156">
        <f t="shared" si="7"/>
        <v>82708.62</v>
      </c>
      <c r="Q156">
        <f t="shared" si="8"/>
        <v>9926.5099999999948</v>
      </c>
    </row>
    <row r="157" spans="1:17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  <c r="O157">
        <f t="shared" si="6"/>
        <v>62301.2</v>
      </c>
      <c r="P157">
        <f t="shared" si="7"/>
        <v>71311.600000000006</v>
      </c>
      <c r="Q157">
        <f t="shared" si="8"/>
        <v>9010.4000000000087</v>
      </c>
    </row>
    <row r="158" spans="1:17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  <c r="O158">
        <f t="shared" si="6"/>
        <v>29129.52</v>
      </c>
      <c r="P158">
        <f t="shared" si="7"/>
        <v>32917.08</v>
      </c>
      <c r="Q158">
        <f t="shared" si="8"/>
        <v>3787.5600000000013</v>
      </c>
    </row>
    <row r="159" spans="1:17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  <c r="O159">
        <f t="shared" si="6"/>
        <v>76484.89</v>
      </c>
      <c r="P159">
        <f t="shared" si="7"/>
        <v>78225.3</v>
      </c>
      <c r="Q159">
        <f t="shared" si="8"/>
        <v>1740.4100000000035</v>
      </c>
    </row>
    <row r="160" spans="1:17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  <c r="O160">
        <f t="shared" si="6"/>
        <v>4538.68</v>
      </c>
      <c r="P160">
        <f t="shared" si="7"/>
        <v>4805.5600000000004</v>
      </c>
      <c r="Q160">
        <f t="shared" si="8"/>
        <v>266.88000000000011</v>
      </c>
    </row>
    <row r="161" spans="1:17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  <c r="O161">
        <f t="shared" si="6"/>
        <v>13997.11</v>
      </c>
      <c r="P161">
        <f t="shared" si="7"/>
        <v>23741.06</v>
      </c>
      <c r="Q161">
        <f t="shared" si="8"/>
        <v>9743.9500000000007</v>
      </c>
    </row>
    <row r="162" spans="1:17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  <c r="O162">
        <f t="shared" si="6"/>
        <v>144112.79999999999</v>
      </c>
      <c r="P162">
        <f t="shared" si="7"/>
        <v>147869.28</v>
      </c>
      <c r="Q162">
        <f t="shared" si="8"/>
        <v>3756.4800000000105</v>
      </c>
    </row>
    <row r="163" spans="1:17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  <c r="O163">
        <f t="shared" si="6"/>
        <v>117562.08</v>
      </c>
      <c r="P163">
        <f t="shared" si="7"/>
        <v>130277.75999999999</v>
      </c>
      <c r="Q163">
        <f t="shared" si="8"/>
        <v>12715.679999999993</v>
      </c>
    </row>
    <row r="164" spans="1:17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  <c r="O164">
        <f t="shared" si="6"/>
        <v>182.99</v>
      </c>
      <c r="P164">
        <f t="shared" si="7"/>
        <v>211.18</v>
      </c>
      <c r="Q164">
        <f t="shared" si="8"/>
        <v>28.189999999999998</v>
      </c>
    </row>
    <row r="165" spans="1:17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  <c r="O165">
        <f t="shared" si="6"/>
        <v>48334.75</v>
      </c>
      <c r="P165">
        <f t="shared" si="7"/>
        <v>49573</v>
      </c>
      <c r="Q165">
        <f t="shared" si="8"/>
        <v>1238.25</v>
      </c>
    </row>
    <row r="166" spans="1:17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  <c r="O166">
        <f t="shared" si="6"/>
        <v>1150.6400000000001</v>
      </c>
      <c r="P166">
        <f t="shared" si="7"/>
        <v>1829.54</v>
      </c>
      <c r="Q166">
        <f t="shared" si="8"/>
        <v>678.89999999999986</v>
      </c>
    </row>
    <row r="167" spans="1:17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  <c r="O167">
        <f t="shared" si="6"/>
        <v>80406.599999999991</v>
      </c>
      <c r="P167">
        <f t="shared" si="7"/>
        <v>90837.5999999997</v>
      </c>
      <c r="Q167">
        <f t="shared" si="8"/>
        <v>10430.999999999709</v>
      </c>
    </row>
    <row r="168" spans="1:17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  <c r="O168">
        <f t="shared" si="6"/>
        <v>6027.2999999999993</v>
      </c>
      <c r="P168">
        <f t="shared" si="7"/>
        <v>6559.26</v>
      </c>
      <c r="Q168">
        <f t="shared" si="8"/>
        <v>531.96000000000095</v>
      </c>
    </row>
    <row r="169" spans="1:17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  <c r="O169">
        <f t="shared" si="6"/>
        <v>64787.1</v>
      </c>
      <c r="P169">
        <f t="shared" si="7"/>
        <v>67215.75</v>
      </c>
      <c r="Q169">
        <f t="shared" si="8"/>
        <v>2428.6500000000015</v>
      </c>
    </row>
    <row r="170" spans="1:17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  <c r="O170">
        <f t="shared" si="6"/>
        <v>100943.25</v>
      </c>
      <c r="P170">
        <f t="shared" si="7"/>
        <v>111161.25</v>
      </c>
      <c r="Q170">
        <f t="shared" si="8"/>
        <v>10218</v>
      </c>
    </row>
    <row r="171" spans="1:17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  <c r="O171">
        <f t="shared" si="6"/>
        <v>30667.199999999997</v>
      </c>
      <c r="P171">
        <f t="shared" si="7"/>
        <v>32994.799999999799</v>
      </c>
      <c r="Q171">
        <f t="shared" si="8"/>
        <v>2327.5999999998021</v>
      </c>
    </row>
    <row r="172" spans="1:17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  <c r="O172">
        <f t="shared" si="6"/>
        <v>235808.09</v>
      </c>
      <c r="P172">
        <f t="shared" si="7"/>
        <v>249312</v>
      </c>
      <c r="Q172">
        <f t="shared" si="8"/>
        <v>13503.910000000003</v>
      </c>
    </row>
    <row r="173" spans="1:17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  <c r="O173">
        <f t="shared" si="6"/>
        <v>59430.579999999994</v>
      </c>
      <c r="P173">
        <f t="shared" si="7"/>
        <v>70087.819999999992</v>
      </c>
      <c r="Q173">
        <f t="shared" si="8"/>
        <v>10657.239999999998</v>
      </c>
    </row>
    <row r="174" spans="1:17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  <c r="O174">
        <f t="shared" si="6"/>
        <v>65321.34</v>
      </c>
      <c r="P174">
        <f t="shared" si="7"/>
        <v>67052.789999999994</v>
      </c>
      <c r="Q174">
        <f t="shared" si="8"/>
        <v>1731.4499999999971</v>
      </c>
    </row>
    <row r="175" spans="1:17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  <c r="O175">
        <f t="shared" si="6"/>
        <v>112837.89</v>
      </c>
      <c r="P175">
        <f t="shared" si="7"/>
        <v>128381.87999999967</v>
      </c>
      <c r="Q175">
        <f t="shared" si="8"/>
        <v>15543.989999999671</v>
      </c>
    </row>
    <row r="176" spans="1:17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  <c r="O176">
        <f t="shared" si="6"/>
        <v>127312.16</v>
      </c>
      <c r="P176">
        <f t="shared" si="7"/>
        <v>131097.72</v>
      </c>
      <c r="Q176">
        <f t="shared" si="8"/>
        <v>3785.5599999999977</v>
      </c>
    </row>
    <row r="177" spans="1:17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  <c r="O177">
        <f t="shared" si="6"/>
        <v>38689.65</v>
      </c>
      <c r="P177">
        <f t="shared" si="7"/>
        <v>43010.400000000001</v>
      </c>
      <c r="Q177">
        <f t="shared" si="8"/>
        <v>4320.75</v>
      </c>
    </row>
    <row r="178" spans="1:17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  <c r="O178">
        <f t="shared" si="6"/>
        <v>99929.48000000001</v>
      </c>
      <c r="P178">
        <f t="shared" si="7"/>
        <v>108887.06000000001</v>
      </c>
      <c r="Q178">
        <f t="shared" si="8"/>
        <v>8957.5800000000017</v>
      </c>
    </row>
    <row r="179" spans="1:17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  <c r="O179">
        <f t="shared" si="6"/>
        <v>4743.3</v>
      </c>
      <c r="P179">
        <f t="shared" si="7"/>
        <v>11985.599999999999</v>
      </c>
      <c r="Q179">
        <f t="shared" si="8"/>
        <v>7242.2999999999984</v>
      </c>
    </row>
    <row r="180" spans="1:17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  <c r="O180">
        <f t="shared" si="6"/>
        <v>7328.7199999999993</v>
      </c>
      <c r="P180">
        <f t="shared" si="7"/>
        <v>13954.560000000001</v>
      </c>
      <c r="Q180">
        <f t="shared" si="8"/>
        <v>6625.840000000002</v>
      </c>
    </row>
    <row r="181" spans="1:17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  <c r="O181">
        <f t="shared" si="6"/>
        <v>45547.75</v>
      </c>
      <c r="P181">
        <f t="shared" si="7"/>
        <v>50693.5</v>
      </c>
      <c r="Q181">
        <f t="shared" si="8"/>
        <v>5145.75</v>
      </c>
    </row>
    <row r="182" spans="1:17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  <c r="O182">
        <f t="shared" si="6"/>
        <v>35734.019999999997</v>
      </c>
      <c r="P182">
        <f t="shared" si="7"/>
        <v>46057.619999999995</v>
      </c>
      <c r="Q182">
        <f t="shared" si="8"/>
        <v>10323.599999999999</v>
      </c>
    </row>
    <row r="183" spans="1:17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  <c r="O183">
        <f t="shared" si="6"/>
        <v>47258.159999999996</v>
      </c>
      <c r="P183">
        <f t="shared" si="7"/>
        <v>53807.040000000001</v>
      </c>
      <c r="Q183">
        <f t="shared" si="8"/>
        <v>6548.8800000000047</v>
      </c>
    </row>
    <row r="184" spans="1:17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  <c r="O184">
        <f t="shared" si="6"/>
        <v>3674.6</v>
      </c>
      <c r="P184">
        <f t="shared" si="7"/>
        <v>4956.05</v>
      </c>
      <c r="Q184">
        <f t="shared" si="8"/>
        <v>1281.4500000000003</v>
      </c>
    </row>
    <row r="185" spans="1:17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  <c r="O185">
        <f t="shared" si="6"/>
        <v>22223.579999999998</v>
      </c>
      <c r="P185">
        <f t="shared" si="7"/>
        <v>23041.439999999999</v>
      </c>
      <c r="Q185">
        <f t="shared" si="8"/>
        <v>817.86000000000058</v>
      </c>
    </row>
    <row r="186" spans="1:17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  <c r="O186">
        <f t="shared" si="6"/>
        <v>210306.53</v>
      </c>
      <c r="P186">
        <f t="shared" si="7"/>
        <v>227636.36000000002</v>
      </c>
      <c r="Q186">
        <f t="shared" si="8"/>
        <v>17329.830000000016</v>
      </c>
    </row>
    <row r="187" spans="1:17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  <c r="O187">
        <f t="shared" si="6"/>
        <v>201955.52000000002</v>
      </c>
      <c r="P187">
        <f t="shared" si="7"/>
        <v>202688.24000000002</v>
      </c>
      <c r="Q187">
        <f t="shared" si="8"/>
        <v>732.72000000000116</v>
      </c>
    </row>
    <row r="188" spans="1:17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  <c r="O188">
        <f t="shared" si="6"/>
        <v>119385.12</v>
      </c>
      <c r="P188">
        <f t="shared" si="7"/>
        <v>121029.59999999999</v>
      </c>
      <c r="Q188">
        <f t="shared" si="8"/>
        <v>1644.4799999999959</v>
      </c>
    </row>
    <row r="189" spans="1:17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  <c r="O189">
        <f t="shared" si="6"/>
        <v>154848.76</v>
      </c>
      <c r="P189">
        <f t="shared" si="7"/>
        <v>168211.12</v>
      </c>
      <c r="Q189">
        <f t="shared" si="8"/>
        <v>13362.359999999986</v>
      </c>
    </row>
    <row r="190" spans="1:17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  <c r="O190">
        <f t="shared" si="6"/>
        <v>201394.05999999997</v>
      </c>
      <c r="P190">
        <f t="shared" si="7"/>
        <v>209732.8</v>
      </c>
      <c r="Q190">
        <f t="shared" si="8"/>
        <v>8338.7400000000198</v>
      </c>
    </row>
    <row r="191" spans="1:17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  <c r="O191">
        <f t="shared" si="6"/>
        <v>48772.42</v>
      </c>
      <c r="P191">
        <f t="shared" si="7"/>
        <v>59746.41</v>
      </c>
      <c r="Q191">
        <f t="shared" si="8"/>
        <v>10973.990000000005</v>
      </c>
    </row>
    <row r="192" spans="1:17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  <c r="O192">
        <f t="shared" si="6"/>
        <v>6326.36</v>
      </c>
      <c r="P192">
        <f t="shared" si="7"/>
        <v>8136.5999999999603</v>
      </c>
      <c r="Q192">
        <f t="shared" si="8"/>
        <v>1810.2399999999607</v>
      </c>
    </row>
    <row r="193" spans="1:17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  <c r="O193">
        <f t="shared" si="6"/>
        <v>126543.33</v>
      </c>
      <c r="P193">
        <f t="shared" si="7"/>
        <v>136255.77000000002</v>
      </c>
      <c r="Q193">
        <f t="shared" si="8"/>
        <v>9712.4400000000169</v>
      </c>
    </row>
    <row r="194" spans="1:17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  <c r="O194">
        <f t="shared" si="6"/>
        <v>46846.799999999996</v>
      </c>
      <c r="P194">
        <f t="shared" si="7"/>
        <v>54242.819999999992</v>
      </c>
      <c r="Q194">
        <f t="shared" si="8"/>
        <v>7396.0199999999968</v>
      </c>
    </row>
    <row r="195" spans="1:17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  <c r="O195">
        <f t="shared" ref="O195:O258" si="9">H195*F195</f>
        <v>52739.61</v>
      </c>
      <c r="P195">
        <f t="shared" ref="P195:P258" si="10">I195*F195</f>
        <v>59816.39999999979</v>
      </c>
      <c r="Q195">
        <f t="shared" ref="Q195:Q258" si="11">P195-O195</f>
        <v>7076.7899999997899</v>
      </c>
    </row>
    <row r="196" spans="1:17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  <c r="O196">
        <f t="shared" si="9"/>
        <v>26128.48</v>
      </c>
      <c r="P196">
        <f t="shared" si="10"/>
        <v>28131.599999999722</v>
      </c>
      <c r="Q196">
        <f t="shared" si="11"/>
        <v>2003.1199999997225</v>
      </c>
    </row>
    <row r="197" spans="1:17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  <c r="O197">
        <f t="shared" si="9"/>
        <v>20487.95</v>
      </c>
      <c r="P197">
        <f t="shared" si="10"/>
        <v>33967.15</v>
      </c>
      <c r="Q197">
        <f t="shared" si="11"/>
        <v>13479.2</v>
      </c>
    </row>
    <row r="198" spans="1:17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  <c r="O198">
        <f t="shared" si="9"/>
        <v>92805.46</v>
      </c>
      <c r="P198">
        <f t="shared" si="10"/>
        <v>95291.24</v>
      </c>
      <c r="Q198">
        <f t="shared" si="11"/>
        <v>2485.7799999999988</v>
      </c>
    </row>
    <row r="199" spans="1:17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  <c r="O199">
        <f t="shared" si="9"/>
        <v>123598.39999999999</v>
      </c>
      <c r="P199">
        <f t="shared" si="10"/>
        <v>130338</v>
      </c>
      <c r="Q199">
        <f t="shared" si="11"/>
        <v>6739.6000000000058</v>
      </c>
    </row>
    <row r="200" spans="1:17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  <c r="O200">
        <f t="shared" si="9"/>
        <v>38245.089999999997</v>
      </c>
      <c r="P200">
        <f t="shared" si="10"/>
        <v>47707.75</v>
      </c>
      <c r="Q200">
        <f t="shared" si="11"/>
        <v>9462.6600000000035</v>
      </c>
    </row>
    <row r="201" spans="1:17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  <c r="O201">
        <f t="shared" si="9"/>
        <v>2997.27</v>
      </c>
      <c r="P201">
        <f t="shared" si="10"/>
        <v>3815.9700000000003</v>
      </c>
      <c r="Q201">
        <f t="shared" si="11"/>
        <v>818.70000000000027</v>
      </c>
    </row>
    <row r="202" spans="1:17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  <c r="O202">
        <f t="shared" si="9"/>
        <v>111988.4</v>
      </c>
      <c r="P202">
        <f t="shared" si="10"/>
        <v>129243.2</v>
      </c>
      <c r="Q202">
        <f t="shared" si="11"/>
        <v>17254.800000000003</v>
      </c>
    </row>
    <row r="203" spans="1:17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  <c r="O203">
        <f t="shared" si="9"/>
        <v>29404</v>
      </c>
      <c r="P203">
        <f t="shared" si="10"/>
        <v>30547.9</v>
      </c>
      <c r="Q203">
        <f t="shared" si="11"/>
        <v>1143.9000000000015</v>
      </c>
    </row>
    <row r="204" spans="1:17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  <c r="O204">
        <f t="shared" si="9"/>
        <v>26865.499999999996</v>
      </c>
      <c r="P204">
        <f t="shared" si="10"/>
        <v>34560.749999999753</v>
      </c>
      <c r="Q204">
        <f t="shared" si="11"/>
        <v>7695.2499999997563</v>
      </c>
    </row>
    <row r="205" spans="1:17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  <c r="O205">
        <f t="shared" si="9"/>
        <v>208958.54</v>
      </c>
      <c r="P205">
        <f t="shared" si="10"/>
        <v>211460.48000000001</v>
      </c>
      <c r="Q205">
        <f t="shared" si="11"/>
        <v>2501.9400000000023</v>
      </c>
    </row>
    <row r="206" spans="1:17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  <c r="O206">
        <f t="shared" si="9"/>
        <v>3736.88</v>
      </c>
      <c r="P206">
        <f t="shared" si="10"/>
        <v>6337.68</v>
      </c>
      <c r="Q206">
        <f t="shared" si="11"/>
        <v>2600.8000000000002</v>
      </c>
    </row>
    <row r="207" spans="1:17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  <c r="O207">
        <f t="shared" si="9"/>
        <v>19939.260000000002</v>
      </c>
      <c r="P207">
        <f t="shared" si="10"/>
        <v>24159.300000000003</v>
      </c>
      <c r="Q207">
        <f t="shared" si="11"/>
        <v>4220.0400000000009</v>
      </c>
    </row>
    <row r="208" spans="1:17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  <c r="O208">
        <f t="shared" si="9"/>
        <v>17089.5</v>
      </c>
      <c r="P208">
        <f t="shared" si="10"/>
        <v>18572.599999999999</v>
      </c>
      <c r="Q208">
        <f t="shared" si="11"/>
        <v>1483.0999999999985</v>
      </c>
    </row>
    <row r="209" spans="1:17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  <c r="O209">
        <f t="shared" si="9"/>
        <v>63310.500000000007</v>
      </c>
      <c r="P209">
        <f t="shared" si="10"/>
        <v>69630.75</v>
      </c>
      <c r="Q209">
        <f t="shared" si="11"/>
        <v>6320.2499999999927</v>
      </c>
    </row>
    <row r="210" spans="1:17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  <c r="O210">
        <f t="shared" si="9"/>
        <v>153438.63</v>
      </c>
      <c r="P210">
        <f t="shared" si="10"/>
        <v>154376.94999999963</v>
      </c>
      <c r="Q210">
        <f t="shared" si="11"/>
        <v>938.31999999962864</v>
      </c>
    </row>
    <row r="211" spans="1:17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  <c r="O211">
        <f t="shared" si="9"/>
        <v>167055.75</v>
      </c>
      <c r="P211">
        <f t="shared" si="10"/>
        <v>170139.6</v>
      </c>
      <c r="Q211">
        <f t="shared" si="11"/>
        <v>3083.8500000000058</v>
      </c>
    </row>
    <row r="212" spans="1:17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  <c r="O212">
        <f t="shared" si="9"/>
        <v>150315.07999999999</v>
      </c>
      <c r="P212">
        <f t="shared" si="10"/>
        <v>162282.42000000001</v>
      </c>
      <c r="Q212">
        <f t="shared" si="11"/>
        <v>11967.340000000026</v>
      </c>
    </row>
    <row r="213" spans="1:17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  <c r="O213">
        <f t="shared" si="9"/>
        <v>18547.82</v>
      </c>
      <c r="P213">
        <f t="shared" si="10"/>
        <v>32116.050000000003</v>
      </c>
      <c r="Q213">
        <f t="shared" si="11"/>
        <v>13568.230000000003</v>
      </c>
    </row>
    <row r="214" spans="1:17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  <c r="O214">
        <f t="shared" si="9"/>
        <v>3728.55</v>
      </c>
      <c r="P214">
        <f t="shared" si="10"/>
        <v>4284.55</v>
      </c>
      <c r="Q214">
        <f t="shared" si="11"/>
        <v>556</v>
      </c>
    </row>
    <row r="215" spans="1:17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  <c r="O215">
        <f t="shared" si="9"/>
        <v>13212.449999999999</v>
      </c>
      <c r="P215">
        <f t="shared" si="10"/>
        <v>16543.89</v>
      </c>
      <c r="Q215">
        <f t="shared" si="11"/>
        <v>3331.4400000000005</v>
      </c>
    </row>
    <row r="216" spans="1:17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  <c r="O216">
        <f t="shared" si="9"/>
        <v>125495.04000000001</v>
      </c>
      <c r="P216">
        <f t="shared" si="10"/>
        <v>146353.91999999998</v>
      </c>
      <c r="Q216">
        <f t="shared" si="11"/>
        <v>20858.879999999976</v>
      </c>
    </row>
    <row r="217" spans="1:17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  <c r="O217">
        <f t="shared" si="9"/>
        <v>7505.36</v>
      </c>
      <c r="P217">
        <f t="shared" si="10"/>
        <v>8035.82</v>
      </c>
      <c r="Q217">
        <f t="shared" si="11"/>
        <v>530.46</v>
      </c>
    </row>
    <row r="218" spans="1:17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  <c r="O218">
        <f t="shared" si="9"/>
        <v>4190.83</v>
      </c>
      <c r="P218">
        <f t="shared" si="10"/>
        <v>4528.7699999999904</v>
      </c>
      <c r="Q218">
        <f t="shared" si="11"/>
        <v>337.9399999999905</v>
      </c>
    </row>
    <row r="219" spans="1:17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  <c r="O219">
        <f t="shared" si="9"/>
        <v>141458.4</v>
      </c>
      <c r="P219">
        <f t="shared" si="10"/>
        <v>157832.80000000002</v>
      </c>
      <c r="Q219">
        <f t="shared" si="11"/>
        <v>16374.400000000023</v>
      </c>
    </row>
    <row r="220" spans="1:17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  <c r="O220">
        <f t="shared" si="9"/>
        <v>139396.5</v>
      </c>
      <c r="P220">
        <f t="shared" si="10"/>
        <v>143528.4</v>
      </c>
      <c r="Q220">
        <f t="shared" si="11"/>
        <v>4131.8999999999942</v>
      </c>
    </row>
    <row r="221" spans="1:17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  <c r="O221">
        <f t="shared" si="9"/>
        <v>40774.58</v>
      </c>
      <c r="P221">
        <f t="shared" si="10"/>
        <v>42484.86</v>
      </c>
      <c r="Q221">
        <f t="shared" si="11"/>
        <v>1710.2799999999988</v>
      </c>
    </row>
    <row r="222" spans="1:17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  <c r="O222">
        <f t="shared" si="9"/>
        <v>43848.84</v>
      </c>
      <c r="P222">
        <f t="shared" si="10"/>
        <v>44137.52</v>
      </c>
      <c r="Q222">
        <f t="shared" si="11"/>
        <v>288.68000000000029</v>
      </c>
    </row>
    <row r="223" spans="1:17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  <c r="O223">
        <f t="shared" si="9"/>
        <v>59934.600000000006</v>
      </c>
      <c r="P223">
        <f t="shared" si="10"/>
        <v>81139.08</v>
      </c>
      <c r="Q223">
        <f t="shared" si="11"/>
        <v>21204.479999999996</v>
      </c>
    </row>
    <row r="224" spans="1:17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  <c r="O224">
        <f t="shared" si="9"/>
        <v>41953.8</v>
      </c>
      <c r="P224">
        <f t="shared" si="10"/>
        <v>47469</v>
      </c>
      <c r="Q224">
        <f t="shared" si="11"/>
        <v>5515.1999999999971</v>
      </c>
    </row>
    <row r="225" spans="1:17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  <c r="O225">
        <f t="shared" si="9"/>
        <v>39183.69</v>
      </c>
      <c r="P225">
        <f t="shared" si="10"/>
        <v>54184.649999999994</v>
      </c>
      <c r="Q225">
        <f t="shared" si="11"/>
        <v>15000.959999999992</v>
      </c>
    </row>
    <row r="226" spans="1:17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  <c r="O226">
        <f t="shared" si="9"/>
        <v>13232.44</v>
      </c>
      <c r="P226">
        <f t="shared" si="10"/>
        <v>14499.940000000002</v>
      </c>
      <c r="Q226">
        <f t="shared" si="11"/>
        <v>1267.5000000000018</v>
      </c>
    </row>
    <row r="227" spans="1:17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  <c r="O227">
        <f t="shared" si="9"/>
        <v>34898.5</v>
      </c>
      <c r="P227">
        <f t="shared" si="10"/>
        <v>37879.14</v>
      </c>
      <c r="Q227">
        <f t="shared" si="11"/>
        <v>2980.6399999999994</v>
      </c>
    </row>
    <row r="228" spans="1:17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  <c r="O228">
        <f t="shared" si="9"/>
        <v>32937.040000000001</v>
      </c>
      <c r="P228">
        <f t="shared" si="10"/>
        <v>33416.480000000003</v>
      </c>
      <c r="Q228">
        <f t="shared" si="11"/>
        <v>479.44000000000233</v>
      </c>
    </row>
    <row r="229" spans="1:17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  <c r="O229">
        <f t="shared" si="9"/>
        <v>15451.240000000002</v>
      </c>
      <c r="P229">
        <f t="shared" si="10"/>
        <v>15949.64</v>
      </c>
      <c r="Q229">
        <f t="shared" si="11"/>
        <v>498.39999999999782</v>
      </c>
    </row>
    <row r="230" spans="1:17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  <c r="O230">
        <f t="shared" si="9"/>
        <v>119095.8</v>
      </c>
      <c r="P230">
        <f t="shared" si="10"/>
        <v>128453.7</v>
      </c>
      <c r="Q230">
        <f t="shared" si="11"/>
        <v>9357.8999999999942</v>
      </c>
    </row>
    <row r="231" spans="1:17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  <c r="O231">
        <f t="shared" si="9"/>
        <v>36605.520000000004</v>
      </c>
      <c r="P231">
        <f t="shared" si="10"/>
        <v>40932.81</v>
      </c>
      <c r="Q231">
        <f t="shared" si="11"/>
        <v>4327.2899999999936</v>
      </c>
    </row>
    <row r="232" spans="1:17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  <c r="O232">
        <f t="shared" si="9"/>
        <v>95053.140000000014</v>
      </c>
      <c r="P232">
        <f t="shared" si="10"/>
        <v>112697.13</v>
      </c>
      <c r="Q232">
        <f t="shared" si="11"/>
        <v>17643.989999999991</v>
      </c>
    </row>
    <row r="233" spans="1:17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  <c r="O233">
        <f t="shared" si="9"/>
        <v>10344.39</v>
      </c>
      <c r="P233">
        <f t="shared" si="10"/>
        <v>21238.100000000002</v>
      </c>
      <c r="Q233">
        <f t="shared" si="11"/>
        <v>10893.710000000003</v>
      </c>
    </row>
    <row r="234" spans="1:17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  <c r="O234">
        <f t="shared" si="9"/>
        <v>19198.62</v>
      </c>
      <c r="P234">
        <f t="shared" si="10"/>
        <v>20402.97</v>
      </c>
      <c r="Q234">
        <f t="shared" si="11"/>
        <v>1204.3500000000022</v>
      </c>
    </row>
    <row r="235" spans="1:17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  <c r="O235">
        <f t="shared" si="9"/>
        <v>166932.72</v>
      </c>
      <c r="P235">
        <f t="shared" si="10"/>
        <v>173716.69999999998</v>
      </c>
      <c r="Q235">
        <f t="shared" si="11"/>
        <v>6783.9799999999814</v>
      </c>
    </row>
    <row r="236" spans="1:17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  <c r="O236">
        <f t="shared" si="9"/>
        <v>121492.20000000001</v>
      </c>
      <c r="P236">
        <f t="shared" si="10"/>
        <v>127164.42</v>
      </c>
      <c r="Q236">
        <f t="shared" si="11"/>
        <v>5672.2199999999866</v>
      </c>
    </row>
    <row r="237" spans="1:17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  <c r="O237">
        <f t="shared" si="9"/>
        <v>139402.66</v>
      </c>
      <c r="P237">
        <f t="shared" si="10"/>
        <v>151304.7999999997</v>
      </c>
      <c r="Q237">
        <f t="shared" si="11"/>
        <v>11902.139999999694</v>
      </c>
    </row>
    <row r="238" spans="1:17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  <c r="O238">
        <f t="shared" si="9"/>
        <v>73357.5</v>
      </c>
      <c r="P238">
        <f t="shared" si="10"/>
        <v>83435</v>
      </c>
      <c r="Q238">
        <f t="shared" si="11"/>
        <v>10077.5</v>
      </c>
    </row>
    <row r="239" spans="1:17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  <c r="O239">
        <f t="shared" si="9"/>
        <v>7971.9600000000009</v>
      </c>
      <c r="P239">
        <f t="shared" si="10"/>
        <v>10356.36</v>
      </c>
      <c r="Q239">
        <f t="shared" si="11"/>
        <v>2384.3999999999996</v>
      </c>
    </row>
    <row r="240" spans="1:17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  <c r="O240">
        <f t="shared" si="9"/>
        <v>651</v>
      </c>
      <c r="P240">
        <f t="shared" si="10"/>
        <v>865.76</v>
      </c>
      <c r="Q240">
        <f t="shared" si="11"/>
        <v>214.76</v>
      </c>
    </row>
    <row r="241" spans="1:17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  <c r="O241">
        <f t="shared" si="9"/>
        <v>79631.42</v>
      </c>
      <c r="P241">
        <f t="shared" si="10"/>
        <v>80331.240000000005</v>
      </c>
      <c r="Q241">
        <f t="shared" si="11"/>
        <v>699.82000000000698</v>
      </c>
    </row>
    <row r="242" spans="1:17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  <c r="O242">
        <f t="shared" si="9"/>
        <v>38389.199999999997</v>
      </c>
      <c r="P242">
        <f t="shared" si="10"/>
        <v>44456.4</v>
      </c>
      <c r="Q242">
        <f t="shared" si="11"/>
        <v>6067.2000000000044</v>
      </c>
    </row>
    <row r="243" spans="1:17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  <c r="O243">
        <f t="shared" si="9"/>
        <v>61993.87</v>
      </c>
      <c r="P243">
        <f t="shared" si="10"/>
        <v>70545.679999999629</v>
      </c>
      <c r="Q243">
        <f t="shared" si="11"/>
        <v>8551.8099999996266</v>
      </c>
    </row>
    <row r="244" spans="1:17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  <c r="O244">
        <f t="shared" si="9"/>
        <v>115699.9</v>
      </c>
      <c r="P244">
        <f t="shared" si="10"/>
        <v>118863.94</v>
      </c>
      <c r="Q244">
        <f t="shared" si="11"/>
        <v>3164.0400000000081</v>
      </c>
    </row>
    <row r="245" spans="1:17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  <c r="O245">
        <f t="shared" si="9"/>
        <v>172.59</v>
      </c>
      <c r="P245">
        <f t="shared" si="10"/>
        <v>404.69</v>
      </c>
      <c r="Q245">
        <f t="shared" si="11"/>
        <v>232.1</v>
      </c>
    </row>
    <row r="246" spans="1:17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  <c r="O246">
        <f t="shared" si="9"/>
        <v>1281.6500000000001</v>
      </c>
      <c r="P246">
        <f t="shared" si="10"/>
        <v>1709.71</v>
      </c>
      <c r="Q246">
        <f t="shared" si="11"/>
        <v>428.05999999999995</v>
      </c>
    </row>
    <row r="247" spans="1:17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  <c r="O247">
        <f t="shared" si="9"/>
        <v>86900.1</v>
      </c>
      <c r="P247">
        <f t="shared" si="10"/>
        <v>99283.8</v>
      </c>
      <c r="Q247">
        <f t="shared" si="11"/>
        <v>12383.699999999997</v>
      </c>
    </row>
    <row r="248" spans="1:17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  <c r="O248">
        <f t="shared" si="9"/>
        <v>60236.4</v>
      </c>
      <c r="P248">
        <f t="shared" si="10"/>
        <v>62280.960000000006</v>
      </c>
      <c r="Q248">
        <f t="shared" si="11"/>
        <v>2044.5600000000049</v>
      </c>
    </row>
    <row r="249" spans="1:17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  <c r="O249">
        <f t="shared" si="9"/>
        <v>15225.63</v>
      </c>
      <c r="P249">
        <f t="shared" si="10"/>
        <v>17407.949999999979</v>
      </c>
      <c r="Q249">
        <f t="shared" si="11"/>
        <v>2182.3199999999797</v>
      </c>
    </row>
    <row r="250" spans="1:17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  <c r="O250">
        <f t="shared" si="9"/>
        <v>54804.899999999994</v>
      </c>
      <c r="P250">
        <f t="shared" si="10"/>
        <v>58442.85</v>
      </c>
      <c r="Q250">
        <f t="shared" si="11"/>
        <v>3637.9500000000044</v>
      </c>
    </row>
    <row r="251" spans="1:17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  <c r="O251">
        <f t="shared" si="9"/>
        <v>69276.36</v>
      </c>
      <c r="P251">
        <f t="shared" si="10"/>
        <v>72457.570000000007</v>
      </c>
      <c r="Q251">
        <f t="shared" si="11"/>
        <v>3181.2100000000064</v>
      </c>
    </row>
    <row r="252" spans="1:17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  <c r="O252">
        <f t="shared" si="9"/>
        <v>29139.439999999999</v>
      </c>
      <c r="P252">
        <f t="shared" si="10"/>
        <v>33226.6</v>
      </c>
      <c r="Q252">
        <f t="shared" si="11"/>
        <v>4087.16</v>
      </c>
    </row>
    <row r="253" spans="1:17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  <c r="O253">
        <f t="shared" si="9"/>
        <v>147568.44</v>
      </c>
      <c r="P253">
        <f t="shared" si="10"/>
        <v>157803.36000000002</v>
      </c>
      <c r="Q253">
        <f t="shared" si="11"/>
        <v>10234.920000000013</v>
      </c>
    </row>
    <row r="254" spans="1:17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  <c r="O254">
        <f t="shared" si="9"/>
        <v>68547.149999999994</v>
      </c>
      <c r="P254">
        <f t="shared" si="10"/>
        <v>78919.400000000009</v>
      </c>
      <c r="Q254">
        <f t="shared" si="11"/>
        <v>10372.250000000015</v>
      </c>
    </row>
    <row r="255" spans="1:17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  <c r="O255">
        <f t="shared" si="9"/>
        <v>115114.05</v>
      </c>
      <c r="P255">
        <f t="shared" si="10"/>
        <v>133134.75</v>
      </c>
      <c r="Q255">
        <f t="shared" si="11"/>
        <v>18020.699999999997</v>
      </c>
    </row>
    <row r="256" spans="1:17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  <c r="O256">
        <f t="shared" si="9"/>
        <v>68595.360000000001</v>
      </c>
      <c r="P256">
        <f t="shared" si="10"/>
        <v>71428.479999999996</v>
      </c>
      <c r="Q256">
        <f t="shared" si="11"/>
        <v>2833.1199999999953</v>
      </c>
    </row>
    <row r="257" spans="1:17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  <c r="O257">
        <f t="shared" si="9"/>
        <v>30098.16</v>
      </c>
      <c r="P257">
        <f t="shared" si="10"/>
        <v>33335.599999999999</v>
      </c>
      <c r="Q257">
        <f t="shared" si="11"/>
        <v>3237.4399999999987</v>
      </c>
    </row>
    <row r="258" spans="1:17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  <c r="O258">
        <f t="shared" si="9"/>
        <v>189660.51</v>
      </c>
      <c r="P258">
        <f t="shared" si="10"/>
        <v>197928.75</v>
      </c>
      <c r="Q258">
        <f t="shared" si="11"/>
        <v>8268.2399999999907</v>
      </c>
    </row>
    <row r="259" spans="1:17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  <c r="O259">
        <f t="shared" ref="O259:O322" si="12">H259*F259</f>
        <v>12365.46</v>
      </c>
      <c r="P259">
        <f t="shared" ref="P259:P322" si="13">I259*F259</f>
        <v>12997.18</v>
      </c>
      <c r="Q259">
        <f t="shared" ref="Q259:Q322" si="14">P259-O259</f>
        <v>631.72000000000116</v>
      </c>
    </row>
    <row r="260" spans="1:17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  <c r="O260">
        <f t="shared" si="12"/>
        <v>6716.87</v>
      </c>
      <c r="P260">
        <f t="shared" si="13"/>
        <v>11503.22</v>
      </c>
      <c r="Q260">
        <f t="shared" si="14"/>
        <v>4786.3499999999995</v>
      </c>
    </row>
    <row r="261" spans="1:17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  <c r="O261">
        <f t="shared" si="12"/>
        <v>116281.1</v>
      </c>
      <c r="P261">
        <f t="shared" si="13"/>
        <v>124030.92</v>
      </c>
      <c r="Q261">
        <f t="shared" si="14"/>
        <v>7749.8199999999924</v>
      </c>
    </row>
    <row r="262" spans="1:17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  <c r="O262">
        <f t="shared" si="12"/>
        <v>25607.14</v>
      </c>
      <c r="P262">
        <f t="shared" si="13"/>
        <v>31690.1</v>
      </c>
      <c r="Q262">
        <f t="shared" si="14"/>
        <v>6082.9599999999991</v>
      </c>
    </row>
    <row r="263" spans="1:17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  <c r="O263">
        <f t="shared" si="12"/>
        <v>25075</v>
      </c>
      <c r="P263">
        <f t="shared" si="13"/>
        <v>31293.09</v>
      </c>
      <c r="Q263">
        <f t="shared" si="14"/>
        <v>6218.09</v>
      </c>
    </row>
    <row r="264" spans="1:17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  <c r="O264">
        <f t="shared" si="12"/>
        <v>138215.5</v>
      </c>
      <c r="P264">
        <f t="shared" si="13"/>
        <v>155684.48000000001</v>
      </c>
      <c r="Q264">
        <f t="shared" si="14"/>
        <v>17468.98000000001</v>
      </c>
    </row>
    <row r="265" spans="1:17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  <c r="O265">
        <f t="shared" si="12"/>
        <v>71234.42</v>
      </c>
      <c r="P265">
        <f t="shared" si="13"/>
        <v>78970.950000000012</v>
      </c>
      <c r="Q265">
        <f t="shared" si="14"/>
        <v>7736.5300000000134</v>
      </c>
    </row>
    <row r="266" spans="1:17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  <c r="O266">
        <f t="shared" si="12"/>
        <v>207327.35999999999</v>
      </c>
      <c r="P266">
        <f t="shared" si="13"/>
        <v>222026.87999999954</v>
      </c>
      <c r="Q266">
        <f t="shared" si="14"/>
        <v>14699.519999999553</v>
      </c>
    </row>
    <row r="267" spans="1:17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  <c r="O267">
        <f t="shared" si="12"/>
        <v>22598.66</v>
      </c>
      <c r="P267">
        <f t="shared" si="13"/>
        <v>26359.059999999998</v>
      </c>
      <c r="Q267">
        <f t="shared" si="14"/>
        <v>3760.3999999999978</v>
      </c>
    </row>
    <row r="268" spans="1:17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  <c r="O268">
        <f t="shared" si="12"/>
        <v>192080.25</v>
      </c>
      <c r="P268">
        <f t="shared" si="13"/>
        <v>204821.99999999956</v>
      </c>
      <c r="Q268">
        <f t="shared" si="14"/>
        <v>12741.749999999563</v>
      </c>
    </row>
    <row r="269" spans="1:17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  <c r="O269">
        <f t="shared" si="12"/>
        <v>1515.72</v>
      </c>
      <c r="P269">
        <f t="shared" si="13"/>
        <v>4452</v>
      </c>
      <c r="Q269">
        <f t="shared" si="14"/>
        <v>2936.2799999999997</v>
      </c>
    </row>
    <row r="270" spans="1:17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  <c r="O270">
        <f t="shared" si="12"/>
        <v>10353.699999999999</v>
      </c>
      <c r="P270">
        <f t="shared" si="13"/>
        <v>23963.449999999997</v>
      </c>
      <c r="Q270">
        <f t="shared" si="14"/>
        <v>13609.749999999998</v>
      </c>
    </row>
    <row r="271" spans="1:17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  <c r="O271">
        <f t="shared" si="12"/>
        <v>144275.32</v>
      </c>
      <c r="P271">
        <f t="shared" si="13"/>
        <v>147130.53999999998</v>
      </c>
      <c r="Q271">
        <f t="shared" si="14"/>
        <v>2855.2199999999721</v>
      </c>
    </row>
    <row r="272" spans="1:17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  <c r="O272">
        <f t="shared" si="12"/>
        <v>5073.32</v>
      </c>
      <c r="P272">
        <f t="shared" si="13"/>
        <v>10553.34</v>
      </c>
      <c r="Q272">
        <f t="shared" si="14"/>
        <v>5480.02</v>
      </c>
    </row>
    <row r="273" spans="1:17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  <c r="O273">
        <f t="shared" si="12"/>
        <v>77870.539999999994</v>
      </c>
      <c r="P273">
        <f t="shared" si="13"/>
        <v>82267.859999999535</v>
      </c>
      <c r="Q273">
        <f t="shared" si="14"/>
        <v>4397.3199999995413</v>
      </c>
    </row>
    <row r="274" spans="1:17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  <c r="O274">
        <f t="shared" si="12"/>
        <v>27041.119999999999</v>
      </c>
      <c r="P274">
        <f t="shared" si="13"/>
        <v>28874.719999999921</v>
      </c>
      <c r="Q274">
        <f t="shared" si="14"/>
        <v>1833.5999999999221</v>
      </c>
    </row>
    <row r="275" spans="1:17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  <c r="O275">
        <f t="shared" si="12"/>
        <v>25792.05</v>
      </c>
      <c r="P275">
        <f t="shared" si="13"/>
        <v>27489</v>
      </c>
      <c r="Q275">
        <f t="shared" si="14"/>
        <v>1696.9500000000007</v>
      </c>
    </row>
    <row r="276" spans="1:17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  <c r="O276">
        <f t="shared" si="12"/>
        <v>25353.54</v>
      </c>
      <c r="P276">
        <f t="shared" si="13"/>
        <v>34746.840000000004</v>
      </c>
      <c r="Q276">
        <f t="shared" si="14"/>
        <v>9393.3000000000029</v>
      </c>
    </row>
    <row r="277" spans="1:17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  <c r="O277">
        <f t="shared" si="12"/>
        <v>18754.97</v>
      </c>
      <c r="P277">
        <f t="shared" si="13"/>
        <v>24473.41</v>
      </c>
      <c r="Q277">
        <f t="shared" si="14"/>
        <v>5718.4399999999987</v>
      </c>
    </row>
    <row r="278" spans="1:17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  <c r="O278">
        <f t="shared" si="12"/>
        <v>113435</v>
      </c>
      <c r="P278">
        <f t="shared" si="13"/>
        <v>120896.72000000002</v>
      </c>
      <c r="Q278">
        <f t="shared" si="14"/>
        <v>7461.7200000000157</v>
      </c>
    </row>
    <row r="279" spans="1:17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  <c r="O279">
        <f t="shared" si="12"/>
        <v>74497.959999999992</v>
      </c>
      <c r="P279">
        <f t="shared" si="13"/>
        <v>76053.849999999991</v>
      </c>
      <c r="Q279">
        <f t="shared" si="14"/>
        <v>1555.8899999999994</v>
      </c>
    </row>
    <row r="280" spans="1:17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  <c r="O280">
        <f t="shared" si="12"/>
        <v>137404.75</v>
      </c>
      <c r="P280">
        <f t="shared" si="13"/>
        <v>142873.84999999966</v>
      </c>
      <c r="Q280">
        <f t="shared" si="14"/>
        <v>5469.0999999996566</v>
      </c>
    </row>
    <row r="281" spans="1:17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  <c r="O281">
        <f t="shared" si="12"/>
        <v>22579.56</v>
      </c>
      <c r="P281">
        <f t="shared" si="13"/>
        <v>24616.32</v>
      </c>
      <c r="Q281">
        <f t="shared" si="14"/>
        <v>2036.7599999999984</v>
      </c>
    </row>
    <row r="282" spans="1:17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  <c r="O282">
        <f t="shared" si="12"/>
        <v>11556.25</v>
      </c>
      <c r="P282">
        <f t="shared" si="13"/>
        <v>12411.7</v>
      </c>
      <c r="Q282">
        <f t="shared" si="14"/>
        <v>855.45000000000073</v>
      </c>
    </row>
    <row r="283" spans="1:17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  <c r="O283">
        <f t="shared" si="12"/>
        <v>93193.1</v>
      </c>
      <c r="P283">
        <f t="shared" si="13"/>
        <v>96411.04</v>
      </c>
      <c r="Q283">
        <f t="shared" si="14"/>
        <v>3217.9399999999878</v>
      </c>
    </row>
    <row r="284" spans="1:17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  <c r="O284">
        <f t="shared" si="12"/>
        <v>30158.030000000002</v>
      </c>
      <c r="P284">
        <f t="shared" si="13"/>
        <v>35076.160000000003</v>
      </c>
      <c r="Q284">
        <f t="shared" si="14"/>
        <v>4918.130000000001</v>
      </c>
    </row>
    <row r="285" spans="1:17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  <c r="O285">
        <f t="shared" si="12"/>
        <v>30222</v>
      </c>
      <c r="P285">
        <f t="shared" si="13"/>
        <v>36058.94</v>
      </c>
      <c r="Q285">
        <f t="shared" si="14"/>
        <v>5836.9400000000023</v>
      </c>
    </row>
    <row r="286" spans="1:17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  <c r="O286">
        <f t="shared" si="12"/>
        <v>103711.99999999999</v>
      </c>
      <c r="P286">
        <f t="shared" si="13"/>
        <v>107342.24999999999</v>
      </c>
      <c r="Q286">
        <f t="shared" si="14"/>
        <v>3630.25</v>
      </c>
    </row>
    <row r="287" spans="1:17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  <c r="O287">
        <f t="shared" si="12"/>
        <v>65316.38</v>
      </c>
      <c r="P287">
        <f t="shared" si="13"/>
        <v>77835.179999999993</v>
      </c>
      <c r="Q287">
        <f t="shared" si="14"/>
        <v>12518.799999999996</v>
      </c>
    </row>
    <row r="288" spans="1:17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  <c r="O288">
        <f t="shared" si="12"/>
        <v>127578.1</v>
      </c>
      <c r="P288">
        <f t="shared" si="13"/>
        <v>128814.14000000001</v>
      </c>
      <c r="Q288">
        <f t="shared" si="14"/>
        <v>1236.0400000000081</v>
      </c>
    </row>
    <row r="289" spans="1:17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  <c r="O289">
        <f t="shared" si="12"/>
        <v>110823.65</v>
      </c>
      <c r="P289">
        <f t="shared" si="13"/>
        <v>126586.51</v>
      </c>
      <c r="Q289">
        <f t="shared" si="14"/>
        <v>15762.86</v>
      </c>
    </row>
    <row r="290" spans="1:17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  <c r="O290">
        <f t="shared" si="12"/>
        <v>19850.400000000001</v>
      </c>
      <c r="P290">
        <f t="shared" si="13"/>
        <v>20482.399999999998</v>
      </c>
      <c r="Q290">
        <f t="shared" si="14"/>
        <v>631.99999999999636</v>
      </c>
    </row>
    <row r="291" spans="1:17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  <c r="O291">
        <f t="shared" si="12"/>
        <v>53076.92</v>
      </c>
      <c r="P291">
        <f t="shared" si="13"/>
        <v>59570.42</v>
      </c>
      <c r="Q291">
        <f t="shared" si="14"/>
        <v>6493.5</v>
      </c>
    </row>
    <row r="292" spans="1:17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  <c r="O292">
        <f t="shared" si="12"/>
        <v>43070.400000000001</v>
      </c>
      <c r="P292">
        <f t="shared" si="13"/>
        <v>46074</v>
      </c>
      <c r="Q292">
        <f t="shared" si="14"/>
        <v>3003.5999999999985</v>
      </c>
    </row>
    <row r="293" spans="1:17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  <c r="O293">
        <f t="shared" si="12"/>
        <v>11671.619999999999</v>
      </c>
      <c r="P293">
        <f t="shared" si="13"/>
        <v>13856.579999999998</v>
      </c>
      <c r="Q293">
        <f t="shared" si="14"/>
        <v>2184.9599999999991</v>
      </c>
    </row>
    <row r="294" spans="1:17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  <c r="O294">
        <f t="shared" si="12"/>
        <v>21656.52</v>
      </c>
      <c r="P294">
        <f t="shared" si="13"/>
        <v>24495.72</v>
      </c>
      <c r="Q294">
        <f t="shared" si="14"/>
        <v>2839.2000000000007</v>
      </c>
    </row>
    <row r="295" spans="1:17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  <c r="O295">
        <f t="shared" si="12"/>
        <v>49683.78</v>
      </c>
      <c r="P295">
        <f t="shared" si="13"/>
        <v>57952.44</v>
      </c>
      <c r="Q295">
        <f t="shared" si="14"/>
        <v>8268.6600000000035</v>
      </c>
    </row>
    <row r="296" spans="1:17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  <c r="O296">
        <f t="shared" si="12"/>
        <v>18886.8</v>
      </c>
      <c r="P296">
        <f t="shared" si="13"/>
        <v>20070.32</v>
      </c>
      <c r="Q296">
        <f t="shared" si="14"/>
        <v>1183.5200000000004</v>
      </c>
    </row>
    <row r="297" spans="1:17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  <c r="O297">
        <f t="shared" si="12"/>
        <v>21962.47</v>
      </c>
      <c r="P297">
        <f t="shared" si="13"/>
        <v>25986.03</v>
      </c>
      <c r="Q297">
        <f t="shared" si="14"/>
        <v>4023.5599999999977</v>
      </c>
    </row>
    <row r="298" spans="1:17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  <c r="O298">
        <f t="shared" si="12"/>
        <v>7669.0599999999995</v>
      </c>
      <c r="P298">
        <f t="shared" si="13"/>
        <v>13422.64</v>
      </c>
      <c r="Q298">
        <f t="shared" si="14"/>
        <v>5753.58</v>
      </c>
    </row>
    <row r="299" spans="1:17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  <c r="O299">
        <f t="shared" si="12"/>
        <v>27952.960000000003</v>
      </c>
      <c r="P299">
        <f t="shared" si="13"/>
        <v>32780.579999999994</v>
      </c>
      <c r="Q299">
        <f t="shared" si="14"/>
        <v>4827.6199999999917</v>
      </c>
    </row>
    <row r="300" spans="1:17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  <c r="O300">
        <f t="shared" si="12"/>
        <v>40335.49</v>
      </c>
      <c r="P300">
        <f t="shared" si="13"/>
        <v>41634.839999999997</v>
      </c>
      <c r="Q300">
        <f t="shared" si="14"/>
        <v>1299.3499999999985</v>
      </c>
    </row>
    <row r="301" spans="1:17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  <c r="O301">
        <f t="shared" si="12"/>
        <v>30176.649999999998</v>
      </c>
      <c r="P301">
        <f t="shared" si="13"/>
        <v>33062.400000000001</v>
      </c>
      <c r="Q301">
        <f t="shared" si="14"/>
        <v>2885.7500000000036</v>
      </c>
    </row>
    <row r="302" spans="1:17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  <c r="O302">
        <f t="shared" si="12"/>
        <v>77601.48000000001</v>
      </c>
      <c r="P302">
        <f t="shared" si="13"/>
        <v>87288.08</v>
      </c>
      <c r="Q302">
        <f t="shared" si="14"/>
        <v>9686.5999999999913</v>
      </c>
    </row>
    <row r="303" spans="1:17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  <c r="O303">
        <f t="shared" si="12"/>
        <v>49293.599999999999</v>
      </c>
      <c r="P303">
        <f t="shared" si="13"/>
        <v>50832.599999999853</v>
      </c>
      <c r="Q303">
        <f t="shared" si="14"/>
        <v>1538.9999999998545</v>
      </c>
    </row>
    <row r="304" spans="1:17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  <c r="O304">
        <f t="shared" si="12"/>
        <v>33886.120000000003</v>
      </c>
      <c r="P304">
        <f t="shared" si="13"/>
        <v>36699.64</v>
      </c>
      <c r="Q304">
        <f t="shared" si="14"/>
        <v>2813.5199999999968</v>
      </c>
    </row>
    <row r="305" spans="1:17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  <c r="O305">
        <f t="shared" si="12"/>
        <v>133525.31999999998</v>
      </c>
      <c r="P305">
        <f t="shared" si="13"/>
        <v>139592.19</v>
      </c>
      <c r="Q305">
        <f t="shared" si="14"/>
        <v>6066.8700000000244</v>
      </c>
    </row>
    <row r="306" spans="1:17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  <c r="O306">
        <f t="shared" si="12"/>
        <v>208200.6</v>
      </c>
      <c r="P306">
        <f t="shared" si="13"/>
        <v>220627.87</v>
      </c>
      <c r="Q306">
        <f t="shared" si="14"/>
        <v>12427.26999999999</v>
      </c>
    </row>
    <row r="307" spans="1:17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  <c r="O307">
        <f t="shared" si="12"/>
        <v>52589.68</v>
      </c>
      <c r="P307">
        <f t="shared" si="13"/>
        <v>58082.64</v>
      </c>
      <c r="Q307">
        <f t="shared" si="14"/>
        <v>5492.9599999999991</v>
      </c>
    </row>
    <row r="308" spans="1:17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  <c r="O308">
        <f t="shared" si="12"/>
        <v>71785</v>
      </c>
      <c r="P308">
        <f t="shared" si="13"/>
        <v>74254.25</v>
      </c>
      <c r="Q308">
        <f t="shared" si="14"/>
        <v>2469.25</v>
      </c>
    </row>
    <row r="309" spans="1:17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  <c r="O309">
        <f t="shared" si="12"/>
        <v>84433.22</v>
      </c>
      <c r="P309">
        <f t="shared" si="13"/>
        <v>85633.589999999836</v>
      </c>
      <c r="Q309">
        <f t="shared" si="14"/>
        <v>1200.3699999998353</v>
      </c>
    </row>
    <row r="310" spans="1:17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  <c r="O310">
        <f t="shared" si="12"/>
        <v>152227.59999999998</v>
      </c>
      <c r="P310">
        <f t="shared" si="13"/>
        <v>162580.95000000001</v>
      </c>
      <c r="Q310">
        <f t="shared" si="14"/>
        <v>10353.350000000035</v>
      </c>
    </row>
    <row r="311" spans="1:17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  <c r="O311">
        <f t="shared" si="12"/>
        <v>54054.429999999993</v>
      </c>
      <c r="P311">
        <f t="shared" si="13"/>
        <v>61085</v>
      </c>
      <c r="Q311">
        <f t="shared" si="14"/>
        <v>7030.570000000007</v>
      </c>
    </row>
    <row r="312" spans="1:17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  <c r="O312">
        <f t="shared" si="12"/>
        <v>52146.2</v>
      </c>
      <c r="P312">
        <f t="shared" si="13"/>
        <v>55497.200000000004</v>
      </c>
      <c r="Q312">
        <f t="shared" si="14"/>
        <v>3351.0000000000073</v>
      </c>
    </row>
    <row r="313" spans="1:17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  <c r="O313">
        <f t="shared" si="12"/>
        <v>52515.72</v>
      </c>
      <c r="P313">
        <f t="shared" si="13"/>
        <v>53487</v>
      </c>
      <c r="Q313">
        <f t="shared" si="14"/>
        <v>971.27999999999884</v>
      </c>
    </row>
    <row r="314" spans="1:17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  <c r="O314">
        <f t="shared" si="12"/>
        <v>91356.650000000009</v>
      </c>
      <c r="P314">
        <f t="shared" si="13"/>
        <v>93888.55</v>
      </c>
      <c r="Q314">
        <f t="shared" si="14"/>
        <v>2531.8999999999942</v>
      </c>
    </row>
    <row r="315" spans="1:17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  <c r="O315">
        <f t="shared" si="12"/>
        <v>135952</v>
      </c>
      <c r="P315">
        <f t="shared" si="13"/>
        <v>150614.39999999999</v>
      </c>
      <c r="Q315">
        <f t="shared" si="14"/>
        <v>14662.399999999994</v>
      </c>
    </row>
    <row r="316" spans="1:17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  <c r="O316">
        <f t="shared" si="12"/>
        <v>165197.28</v>
      </c>
      <c r="P316">
        <f t="shared" si="13"/>
        <v>177285.59999999998</v>
      </c>
      <c r="Q316">
        <f t="shared" si="14"/>
        <v>12088.319999999978</v>
      </c>
    </row>
    <row r="317" spans="1:17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  <c r="O317">
        <f t="shared" si="12"/>
        <v>65371.68</v>
      </c>
      <c r="P317">
        <f t="shared" si="13"/>
        <v>75590.680000000008</v>
      </c>
      <c r="Q317">
        <f t="shared" si="14"/>
        <v>10219.000000000007</v>
      </c>
    </row>
    <row r="318" spans="1:17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  <c r="O318">
        <f t="shared" si="12"/>
        <v>41890</v>
      </c>
      <c r="P318">
        <f t="shared" si="13"/>
        <v>43035.600000000006</v>
      </c>
      <c r="Q318">
        <f t="shared" si="14"/>
        <v>1145.6000000000058</v>
      </c>
    </row>
    <row r="319" spans="1:17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  <c r="O319">
        <f t="shared" si="12"/>
        <v>32706.720000000001</v>
      </c>
      <c r="P319">
        <f t="shared" si="13"/>
        <v>41515.440000000002</v>
      </c>
      <c r="Q319">
        <f t="shared" si="14"/>
        <v>8808.7200000000012</v>
      </c>
    </row>
    <row r="320" spans="1:17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  <c r="O320">
        <f t="shared" si="12"/>
        <v>15135.269999999999</v>
      </c>
      <c r="P320">
        <f t="shared" si="13"/>
        <v>19704.02</v>
      </c>
      <c r="Q320">
        <f t="shared" si="14"/>
        <v>4568.7500000000018</v>
      </c>
    </row>
    <row r="321" spans="1:17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  <c r="O321">
        <f t="shared" si="12"/>
        <v>3663.9399999999996</v>
      </c>
      <c r="P321">
        <f t="shared" si="13"/>
        <v>4427.0799999999936</v>
      </c>
      <c r="Q321">
        <f t="shared" si="14"/>
        <v>763.13999999999396</v>
      </c>
    </row>
    <row r="322" spans="1:17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  <c r="O322">
        <f t="shared" si="12"/>
        <v>91362.959999999992</v>
      </c>
      <c r="P322">
        <f t="shared" si="13"/>
        <v>94112.37999999999</v>
      </c>
      <c r="Q322">
        <f t="shared" si="14"/>
        <v>2749.4199999999983</v>
      </c>
    </row>
    <row r="323" spans="1:17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  <c r="O323">
        <f t="shared" ref="O323:O386" si="15">H323*F323</f>
        <v>610.83000000000004</v>
      </c>
      <c r="P323">
        <f t="shared" ref="P323:P386" si="16">I323*F323</f>
        <v>808.69</v>
      </c>
      <c r="Q323">
        <f t="shared" ref="Q323:Q386" si="17">P323-O323</f>
        <v>197.86</v>
      </c>
    </row>
    <row r="324" spans="1:17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  <c r="O324">
        <f t="shared" si="15"/>
        <v>31533.95</v>
      </c>
      <c r="P324">
        <f t="shared" si="16"/>
        <v>46241.3</v>
      </c>
      <c r="Q324">
        <f t="shared" si="17"/>
        <v>14707.350000000002</v>
      </c>
    </row>
    <row r="325" spans="1:17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  <c r="O325">
        <f t="shared" si="15"/>
        <v>88296.320000000007</v>
      </c>
      <c r="P325">
        <f t="shared" si="16"/>
        <v>102184</v>
      </c>
      <c r="Q325">
        <f t="shared" si="17"/>
        <v>13887.679999999993</v>
      </c>
    </row>
    <row r="326" spans="1:17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  <c r="O326">
        <f t="shared" si="15"/>
        <v>31131.72</v>
      </c>
      <c r="P326">
        <f t="shared" si="16"/>
        <v>42125.759999999646</v>
      </c>
      <c r="Q326">
        <f t="shared" si="17"/>
        <v>10994.039999999644</v>
      </c>
    </row>
    <row r="327" spans="1:17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  <c r="O327">
        <f t="shared" si="15"/>
        <v>4760.5999999999995</v>
      </c>
      <c r="P327">
        <f t="shared" si="16"/>
        <v>9524.9700000000012</v>
      </c>
      <c r="Q327">
        <f t="shared" si="17"/>
        <v>4764.3700000000017</v>
      </c>
    </row>
    <row r="328" spans="1:17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  <c r="O328">
        <f t="shared" si="15"/>
        <v>9726.42</v>
      </c>
      <c r="P328">
        <f t="shared" si="16"/>
        <v>10125</v>
      </c>
      <c r="Q328">
        <f t="shared" si="17"/>
        <v>398.57999999999993</v>
      </c>
    </row>
    <row r="329" spans="1:17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  <c r="O329">
        <f t="shared" si="15"/>
        <v>15968.119999999999</v>
      </c>
      <c r="P329">
        <f t="shared" si="16"/>
        <v>20142.64</v>
      </c>
      <c r="Q329">
        <f t="shared" si="17"/>
        <v>4174.5200000000004</v>
      </c>
    </row>
    <row r="330" spans="1:17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  <c r="O330">
        <f t="shared" si="15"/>
        <v>96228.12000000001</v>
      </c>
      <c r="P330">
        <f t="shared" si="16"/>
        <v>108690.09000000001</v>
      </c>
      <c r="Q330">
        <f t="shared" si="17"/>
        <v>12461.970000000001</v>
      </c>
    </row>
    <row r="331" spans="1:17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  <c r="O331">
        <f t="shared" si="15"/>
        <v>26722.560000000001</v>
      </c>
      <c r="P331">
        <f t="shared" si="16"/>
        <v>31923.360000000001</v>
      </c>
      <c r="Q331">
        <f t="shared" si="17"/>
        <v>5200.7999999999993</v>
      </c>
    </row>
    <row r="332" spans="1:17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  <c r="O332">
        <f t="shared" si="15"/>
        <v>56569.05</v>
      </c>
      <c r="P332">
        <f t="shared" si="16"/>
        <v>63188.25</v>
      </c>
      <c r="Q332">
        <f t="shared" si="17"/>
        <v>6619.1999999999971</v>
      </c>
    </row>
    <row r="333" spans="1:17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  <c r="O333">
        <f t="shared" si="15"/>
        <v>213185.41999999998</v>
      </c>
      <c r="P333">
        <f t="shared" si="16"/>
        <v>218146.27</v>
      </c>
      <c r="Q333">
        <f t="shared" si="17"/>
        <v>4960.8500000000058</v>
      </c>
    </row>
    <row r="334" spans="1:17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  <c r="O334">
        <f t="shared" si="15"/>
        <v>14920</v>
      </c>
      <c r="P334">
        <f t="shared" si="16"/>
        <v>15574.4</v>
      </c>
      <c r="Q334">
        <f t="shared" si="17"/>
        <v>654.39999999999964</v>
      </c>
    </row>
    <row r="335" spans="1:17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  <c r="O335">
        <f t="shared" si="15"/>
        <v>107499.59999999999</v>
      </c>
      <c r="P335">
        <f t="shared" si="16"/>
        <v>120062.39999999999</v>
      </c>
      <c r="Q335">
        <f t="shared" si="17"/>
        <v>12562.800000000003</v>
      </c>
    </row>
    <row r="336" spans="1:17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  <c r="O336">
        <f t="shared" si="15"/>
        <v>68964.960000000006</v>
      </c>
      <c r="P336">
        <f t="shared" si="16"/>
        <v>74129.600000000006</v>
      </c>
      <c r="Q336">
        <f t="shared" si="17"/>
        <v>5164.6399999999994</v>
      </c>
    </row>
    <row r="337" spans="1:17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  <c r="O337">
        <f t="shared" si="15"/>
        <v>97715.8</v>
      </c>
      <c r="P337">
        <f t="shared" si="16"/>
        <v>107591.39999999973</v>
      </c>
      <c r="Q337">
        <f t="shared" si="17"/>
        <v>9875.5999999997293</v>
      </c>
    </row>
    <row r="338" spans="1:17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  <c r="O338">
        <f t="shared" si="15"/>
        <v>1635.68</v>
      </c>
      <c r="P338">
        <f t="shared" si="16"/>
        <v>2673.92</v>
      </c>
      <c r="Q338">
        <f t="shared" si="17"/>
        <v>1038.24</v>
      </c>
    </row>
    <row r="339" spans="1:17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  <c r="O339">
        <f t="shared" si="15"/>
        <v>8003</v>
      </c>
      <c r="P339">
        <f t="shared" si="16"/>
        <v>9707.9599999999991</v>
      </c>
      <c r="Q339">
        <f t="shared" si="17"/>
        <v>1704.9599999999991</v>
      </c>
    </row>
    <row r="340" spans="1:17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  <c r="O340">
        <f t="shared" si="15"/>
        <v>191799.45</v>
      </c>
      <c r="P340">
        <f t="shared" si="16"/>
        <v>203998.95</v>
      </c>
      <c r="Q340">
        <f t="shared" si="17"/>
        <v>12199.5</v>
      </c>
    </row>
    <row r="341" spans="1:17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  <c r="O341">
        <f t="shared" si="15"/>
        <v>45812</v>
      </c>
      <c r="P341">
        <f t="shared" si="16"/>
        <v>52076.700000000004</v>
      </c>
      <c r="Q341">
        <f t="shared" si="17"/>
        <v>6264.7000000000044</v>
      </c>
    </row>
    <row r="342" spans="1:17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  <c r="O342">
        <f t="shared" si="15"/>
        <v>6280.96</v>
      </c>
      <c r="P342">
        <f t="shared" si="16"/>
        <v>20021.68</v>
      </c>
      <c r="Q342">
        <f t="shared" si="17"/>
        <v>13740.720000000001</v>
      </c>
    </row>
    <row r="343" spans="1:17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  <c r="O343">
        <f t="shared" si="15"/>
        <v>119794.88</v>
      </c>
      <c r="P343">
        <f t="shared" si="16"/>
        <v>131724.16</v>
      </c>
      <c r="Q343">
        <f t="shared" si="17"/>
        <v>11929.279999999999</v>
      </c>
    </row>
    <row r="344" spans="1:17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  <c r="O344">
        <f t="shared" si="15"/>
        <v>180904.05000000002</v>
      </c>
      <c r="P344">
        <f t="shared" si="16"/>
        <v>183955.94999999998</v>
      </c>
      <c r="Q344">
        <f t="shared" si="17"/>
        <v>3051.8999999999651</v>
      </c>
    </row>
    <row r="345" spans="1:17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  <c r="O345">
        <f t="shared" si="15"/>
        <v>1689.88</v>
      </c>
      <c r="P345">
        <f t="shared" si="16"/>
        <v>2451.2800000000002</v>
      </c>
      <c r="Q345">
        <f t="shared" si="17"/>
        <v>761.40000000000009</v>
      </c>
    </row>
    <row r="346" spans="1:17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  <c r="O346">
        <f t="shared" si="15"/>
        <v>84005.040000000008</v>
      </c>
      <c r="P346">
        <f t="shared" si="16"/>
        <v>85761.810000000012</v>
      </c>
      <c r="Q346">
        <f t="shared" si="17"/>
        <v>1756.7700000000041</v>
      </c>
    </row>
    <row r="347" spans="1:17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  <c r="O347">
        <f t="shared" si="15"/>
        <v>3000.54</v>
      </c>
      <c r="P347">
        <f t="shared" si="16"/>
        <v>3070.92</v>
      </c>
      <c r="Q347">
        <f t="shared" si="17"/>
        <v>70.380000000000109</v>
      </c>
    </row>
    <row r="348" spans="1:17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  <c r="O348">
        <f t="shared" si="15"/>
        <v>28881.68</v>
      </c>
      <c r="P348">
        <f t="shared" si="16"/>
        <v>30543.919999999998</v>
      </c>
      <c r="Q348">
        <f t="shared" si="17"/>
        <v>1662.239999999998</v>
      </c>
    </row>
    <row r="349" spans="1:17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  <c r="O349">
        <f t="shared" si="15"/>
        <v>33460.080000000002</v>
      </c>
      <c r="P349">
        <f t="shared" si="16"/>
        <v>45384.479999999996</v>
      </c>
      <c r="Q349">
        <f t="shared" si="17"/>
        <v>11924.399999999994</v>
      </c>
    </row>
    <row r="350" spans="1:17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  <c r="O350">
        <f t="shared" si="15"/>
        <v>24228.9</v>
      </c>
      <c r="P350">
        <f t="shared" si="16"/>
        <v>25664.25</v>
      </c>
      <c r="Q350">
        <f t="shared" si="17"/>
        <v>1435.3499999999985</v>
      </c>
    </row>
    <row r="351" spans="1:17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  <c r="O351">
        <f t="shared" si="15"/>
        <v>182002.22999999998</v>
      </c>
      <c r="P351">
        <f t="shared" si="16"/>
        <v>196605.03</v>
      </c>
      <c r="Q351">
        <f t="shared" si="17"/>
        <v>14602.800000000017</v>
      </c>
    </row>
    <row r="352" spans="1:17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  <c r="O352">
        <f t="shared" si="15"/>
        <v>74641.8</v>
      </c>
      <c r="P352">
        <f t="shared" si="16"/>
        <v>77585.560000000012</v>
      </c>
      <c r="Q352">
        <f t="shared" si="17"/>
        <v>2943.7600000000093</v>
      </c>
    </row>
    <row r="353" spans="1:17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  <c r="O353">
        <f t="shared" si="15"/>
        <v>30287.52</v>
      </c>
      <c r="P353">
        <f t="shared" si="16"/>
        <v>33573.869999999995</v>
      </c>
      <c r="Q353">
        <f t="shared" si="17"/>
        <v>3286.3499999999949</v>
      </c>
    </row>
    <row r="354" spans="1:17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  <c r="O354">
        <f t="shared" si="15"/>
        <v>79628.25</v>
      </c>
      <c r="P354">
        <f t="shared" si="16"/>
        <v>89675.43</v>
      </c>
      <c r="Q354">
        <f t="shared" si="17"/>
        <v>10047.179999999993</v>
      </c>
    </row>
    <row r="355" spans="1:17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  <c r="O355">
        <f t="shared" si="15"/>
        <v>68630.850000000006</v>
      </c>
      <c r="P355">
        <f t="shared" si="16"/>
        <v>84074.4</v>
      </c>
      <c r="Q355">
        <f t="shared" si="17"/>
        <v>15443.549999999988</v>
      </c>
    </row>
    <row r="356" spans="1:17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  <c r="O356">
        <f t="shared" si="15"/>
        <v>6292.24</v>
      </c>
      <c r="P356">
        <f t="shared" si="16"/>
        <v>6511.0599999999804</v>
      </c>
      <c r="Q356">
        <f t="shared" si="17"/>
        <v>218.81999999998061</v>
      </c>
    </row>
    <row r="357" spans="1:17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  <c r="O357">
        <f t="shared" si="15"/>
        <v>6532.32</v>
      </c>
      <c r="P357">
        <f t="shared" si="16"/>
        <v>9535.2000000000007</v>
      </c>
      <c r="Q357">
        <f t="shared" si="17"/>
        <v>3002.880000000001</v>
      </c>
    </row>
    <row r="358" spans="1:17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  <c r="O358">
        <f t="shared" si="15"/>
        <v>13274.449999999999</v>
      </c>
      <c r="P358">
        <f t="shared" si="16"/>
        <v>16759.399999999998</v>
      </c>
      <c r="Q358">
        <f t="shared" si="17"/>
        <v>3484.9499999999989</v>
      </c>
    </row>
    <row r="359" spans="1:17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  <c r="O359">
        <f t="shared" si="15"/>
        <v>47728.12</v>
      </c>
      <c r="P359">
        <f t="shared" si="16"/>
        <v>62519.600000000006</v>
      </c>
      <c r="Q359">
        <f t="shared" si="17"/>
        <v>14791.480000000003</v>
      </c>
    </row>
    <row r="360" spans="1:17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  <c r="O360">
        <f t="shared" si="15"/>
        <v>136273.41</v>
      </c>
      <c r="P360">
        <f t="shared" si="16"/>
        <v>146094</v>
      </c>
      <c r="Q360">
        <f t="shared" si="17"/>
        <v>9820.5899999999965</v>
      </c>
    </row>
    <row r="361" spans="1:17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  <c r="O361">
        <f t="shared" si="15"/>
        <v>198400.86</v>
      </c>
      <c r="P361">
        <f t="shared" si="16"/>
        <v>217819.97999999998</v>
      </c>
      <c r="Q361">
        <f t="shared" si="17"/>
        <v>19419.119999999995</v>
      </c>
    </row>
    <row r="362" spans="1:17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  <c r="O362">
        <f t="shared" si="15"/>
        <v>79644.479999999996</v>
      </c>
      <c r="P362">
        <f t="shared" si="16"/>
        <v>79928.800000000003</v>
      </c>
      <c r="Q362">
        <f t="shared" si="17"/>
        <v>284.32000000000698</v>
      </c>
    </row>
    <row r="363" spans="1:17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  <c r="O363">
        <f t="shared" si="15"/>
        <v>79760.45</v>
      </c>
      <c r="P363">
        <f t="shared" si="16"/>
        <v>92628.549999999654</v>
      </c>
      <c r="Q363">
        <f t="shared" si="17"/>
        <v>12868.099999999657</v>
      </c>
    </row>
    <row r="364" spans="1:17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  <c r="O364">
        <f t="shared" si="15"/>
        <v>39000.9</v>
      </c>
      <c r="P364">
        <f t="shared" si="16"/>
        <v>52365.599999999999</v>
      </c>
      <c r="Q364">
        <f t="shared" si="17"/>
        <v>13364.699999999997</v>
      </c>
    </row>
    <row r="365" spans="1:17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  <c r="O365">
        <f t="shared" si="15"/>
        <v>22420.100000000002</v>
      </c>
      <c r="P365">
        <f t="shared" si="16"/>
        <v>22822.3</v>
      </c>
      <c r="Q365">
        <f t="shared" si="17"/>
        <v>402.19999999999709</v>
      </c>
    </row>
    <row r="366" spans="1:17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  <c r="O366">
        <f t="shared" si="15"/>
        <v>161271.24</v>
      </c>
      <c r="P366">
        <f t="shared" si="16"/>
        <v>170031.37999999963</v>
      </c>
      <c r="Q366">
        <f t="shared" si="17"/>
        <v>8760.1399999996356</v>
      </c>
    </row>
    <row r="367" spans="1:17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  <c r="O367">
        <f t="shared" si="15"/>
        <v>19255.14</v>
      </c>
      <c r="P367">
        <f t="shared" si="16"/>
        <v>21240.720000000001</v>
      </c>
      <c r="Q367">
        <f t="shared" si="17"/>
        <v>1985.5800000000017</v>
      </c>
    </row>
    <row r="368" spans="1:17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  <c r="O368">
        <f t="shared" si="15"/>
        <v>23814.35</v>
      </c>
      <c r="P368">
        <f t="shared" si="16"/>
        <v>25252.3</v>
      </c>
      <c r="Q368">
        <f t="shared" si="17"/>
        <v>1437.9500000000007</v>
      </c>
    </row>
    <row r="369" spans="1:17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  <c r="O369">
        <f t="shared" si="15"/>
        <v>50524.959999999999</v>
      </c>
      <c r="P369">
        <f t="shared" si="16"/>
        <v>60045.08</v>
      </c>
      <c r="Q369">
        <f t="shared" si="17"/>
        <v>9520.1200000000026</v>
      </c>
    </row>
    <row r="370" spans="1:17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  <c r="O370">
        <f t="shared" si="15"/>
        <v>192259.46999999997</v>
      </c>
      <c r="P370">
        <f t="shared" si="16"/>
        <v>198432.77999999962</v>
      </c>
      <c r="Q370">
        <f t="shared" si="17"/>
        <v>6173.3099999996484</v>
      </c>
    </row>
    <row r="371" spans="1:17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  <c r="O371">
        <f t="shared" si="15"/>
        <v>142837.74</v>
      </c>
      <c r="P371">
        <f t="shared" si="16"/>
        <v>150841</v>
      </c>
      <c r="Q371">
        <f t="shared" si="17"/>
        <v>8003.2600000000093</v>
      </c>
    </row>
    <row r="372" spans="1:17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  <c r="O372">
        <f t="shared" si="15"/>
        <v>174254.06</v>
      </c>
      <c r="P372">
        <f t="shared" si="16"/>
        <v>180569.9</v>
      </c>
      <c r="Q372">
        <f t="shared" si="17"/>
        <v>6315.8399999999965</v>
      </c>
    </row>
    <row r="373" spans="1:17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  <c r="O373">
        <f t="shared" si="15"/>
        <v>73063.350000000006</v>
      </c>
      <c r="P373">
        <f t="shared" si="16"/>
        <v>81658.350000000006</v>
      </c>
      <c r="Q373">
        <f t="shared" si="17"/>
        <v>8595</v>
      </c>
    </row>
    <row r="374" spans="1:17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  <c r="O374">
        <f t="shared" si="15"/>
        <v>2149.35</v>
      </c>
      <c r="P374">
        <f t="shared" si="16"/>
        <v>4177.26</v>
      </c>
      <c r="Q374">
        <f t="shared" si="17"/>
        <v>2027.9100000000003</v>
      </c>
    </row>
    <row r="375" spans="1:17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  <c r="O375">
        <f t="shared" si="15"/>
        <v>9707.7999999999993</v>
      </c>
      <c r="P375">
        <f t="shared" si="16"/>
        <v>11927.4</v>
      </c>
      <c r="Q375">
        <f t="shared" si="17"/>
        <v>2219.6000000000004</v>
      </c>
    </row>
    <row r="376" spans="1:17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  <c r="O376">
        <f t="shared" si="15"/>
        <v>46318.8</v>
      </c>
      <c r="P376">
        <f t="shared" si="16"/>
        <v>46766.1</v>
      </c>
      <c r="Q376">
        <f t="shared" si="17"/>
        <v>447.29999999999563</v>
      </c>
    </row>
    <row r="377" spans="1:17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  <c r="O377">
        <f t="shared" si="15"/>
        <v>1410.72</v>
      </c>
      <c r="P377">
        <f t="shared" si="16"/>
        <v>4065</v>
      </c>
      <c r="Q377">
        <f t="shared" si="17"/>
        <v>2654.2799999999997</v>
      </c>
    </row>
    <row r="378" spans="1:17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  <c r="O378">
        <f t="shared" si="15"/>
        <v>117371.76</v>
      </c>
      <c r="P378">
        <f t="shared" si="16"/>
        <v>130717.28</v>
      </c>
      <c r="Q378">
        <f t="shared" si="17"/>
        <v>13345.520000000004</v>
      </c>
    </row>
    <row r="379" spans="1:17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  <c r="O379">
        <f t="shared" si="15"/>
        <v>89980</v>
      </c>
      <c r="P379">
        <f t="shared" si="16"/>
        <v>97570.44</v>
      </c>
      <c r="Q379">
        <f t="shared" si="17"/>
        <v>7590.4400000000023</v>
      </c>
    </row>
    <row r="380" spans="1:17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  <c r="O380">
        <f t="shared" si="15"/>
        <v>12764.2</v>
      </c>
      <c r="P380">
        <f t="shared" si="16"/>
        <v>14221.4</v>
      </c>
      <c r="Q380">
        <f t="shared" si="17"/>
        <v>1457.1999999999989</v>
      </c>
    </row>
    <row r="381" spans="1:17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  <c r="O381">
        <f t="shared" si="15"/>
        <v>90621.23</v>
      </c>
      <c r="P381">
        <f t="shared" si="16"/>
        <v>98126.430000000008</v>
      </c>
      <c r="Q381">
        <f t="shared" si="17"/>
        <v>7505.2000000000116</v>
      </c>
    </row>
    <row r="382" spans="1:17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  <c r="O382">
        <f t="shared" si="15"/>
        <v>14897.1</v>
      </c>
      <c r="P382">
        <f t="shared" si="16"/>
        <v>20751.98</v>
      </c>
      <c r="Q382">
        <f t="shared" si="17"/>
        <v>5854.8799999999992</v>
      </c>
    </row>
    <row r="383" spans="1:17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  <c r="O383">
        <f t="shared" si="15"/>
        <v>29315.879999999997</v>
      </c>
      <c r="P383">
        <f t="shared" si="16"/>
        <v>29699.699999999997</v>
      </c>
      <c r="Q383">
        <f t="shared" si="17"/>
        <v>383.81999999999971</v>
      </c>
    </row>
    <row r="384" spans="1:17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  <c r="O384">
        <f t="shared" si="15"/>
        <v>31209.919999999998</v>
      </c>
      <c r="P384">
        <f t="shared" si="16"/>
        <v>37637.440000000002</v>
      </c>
      <c r="Q384">
        <f t="shared" si="17"/>
        <v>6427.5200000000041</v>
      </c>
    </row>
    <row r="385" spans="1:17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  <c r="O385">
        <f t="shared" si="15"/>
        <v>94672.62000000001</v>
      </c>
      <c r="P385">
        <f t="shared" si="16"/>
        <v>100053.66</v>
      </c>
      <c r="Q385">
        <f t="shared" si="17"/>
        <v>5381.0399999999936</v>
      </c>
    </row>
    <row r="386" spans="1:17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  <c r="O386">
        <f t="shared" si="15"/>
        <v>44391.24</v>
      </c>
      <c r="P386">
        <f t="shared" si="16"/>
        <v>44709.659999999996</v>
      </c>
      <c r="Q386">
        <f t="shared" si="17"/>
        <v>318.41999999999825</v>
      </c>
    </row>
    <row r="387" spans="1:17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  <c r="O387">
        <f t="shared" ref="O387:O450" si="18">H387*F387</f>
        <v>61119.899999999994</v>
      </c>
      <c r="P387">
        <f t="shared" ref="P387:P450" si="19">I387*F387</f>
        <v>63916.649999999994</v>
      </c>
      <c r="Q387">
        <f t="shared" ref="Q387:Q450" si="20">P387-O387</f>
        <v>2796.75</v>
      </c>
    </row>
    <row r="388" spans="1:17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  <c r="O388">
        <f t="shared" si="18"/>
        <v>21647.600000000002</v>
      </c>
      <c r="P388">
        <f t="shared" si="19"/>
        <v>23808</v>
      </c>
      <c r="Q388">
        <f t="shared" si="20"/>
        <v>2160.3999999999978</v>
      </c>
    </row>
    <row r="389" spans="1:17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  <c r="O389">
        <f t="shared" si="18"/>
        <v>69497.279999999999</v>
      </c>
      <c r="P389">
        <f t="shared" si="19"/>
        <v>73844.479999999996</v>
      </c>
      <c r="Q389">
        <f t="shared" si="20"/>
        <v>4347.1999999999971</v>
      </c>
    </row>
    <row r="390" spans="1:17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  <c r="O390">
        <f t="shared" si="18"/>
        <v>28449.81</v>
      </c>
      <c r="P390">
        <f t="shared" si="19"/>
        <v>28947.78</v>
      </c>
      <c r="Q390">
        <f t="shared" si="20"/>
        <v>497.96999999999753</v>
      </c>
    </row>
    <row r="391" spans="1:17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  <c r="O391">
        <f t="shared" si="18"/>
        <v>41255.74</v>
      </c>
      <c r="P391">
        <f t="shared" si="19"/>
        <v>43455.76</v>
      </c>
      <c r="Q391">
        <f t="shared" si="20"/>
        <v>2200.0200000000041</v>
      </c>
    </row>
    <row r="392" spans="1:17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  <c r="O392">
        <f t="shared" si="18"/>
        <v>31559.699999999997</v>
      </c>
      <c r="P392">
        <f t="shared" si="19"/>
        <v>32634.899999999998</v>
      </c>
      <c r="Q392">
        <f t="shared" si="20"/>
        <v>1075.2000000000007</v>
      </c>
    </row>
    <row r="393" spans="1:17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  <c r="O393">
        <f t="shared" si="18"/>
        <v>92442.8</v>
      </c>
      <c r="P393">
        <f t="shared" si="19"/>
        <v>102441.4</v>
      </c>
      <c r="Q393">
        <f t="shared" si="20"/>
        <v>9998.5999999999913</v>
      </c>
    </row>
    <row r="394" spans="1:17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  <c r="O394">
        <f t="shared" si="18"/>
        <v>29926.260000000002</v>
      </c>
      <c r="P394">
        <f t="shared" si="19"/>
        <v>29992.68</v>
      </c>
      <c r="Q394">
        <f t="shared" si="20"/>
        <v>66.419999999998254</v>
      </c>
    </row>
    <row r="395" spans="1:17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  <c r="O395">
        <f t="shared" si="18"/>
        <v>10110.24</v>
      </c>
      <c r="P395">
        <f t="shared" si="19"/>
        <v>25611.839999999953</v>
      </c>
      <c r="Q395">
        <f t="shared" si="20"/>
        <v>15501.599999999953</v>
      </c>
    </row>
    <row r="396" spans="1:17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  <c r="O396">
        <f t="shared" si="18"/>
        <v>3648.4800000000005</v>
      </c>
      <c r="P396">
        <f t="shared" si="19"/>
        <v>3886.1099999999997</v>
      </c>
      <c r="Q396">
        <f t="shared" si="20"/>
        <v>237.6299999999992</v>
      </c>
    </row>
    <row r="397" spans="1:17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  <c r="O397">
        <f t="shared" si="18"/>
        <v>66612.84</v>
      </c>
      <c r="P397">
        <f t="shared" si="19"/>
        <v>85979.46</v>
      </c>
      <c r="Q397">
        <f t="shared" si="20"/>
        <v>19366.62000000001</v>
      </c>
    </row>
    <row r="398" spans="1:17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  <c r="O398">
        <f t="shared" si="18"/>
        <v>22282.370000000003</v>
      </c>
      <c r="P398">
        <f t="shared" si="19"/>
        <v>22897.050000000003</v>
      </c>
      <c r="Q398">
        <f t="shared" si="20"/>
        <v>614.68000000000029</v>
      </c>
    </row>
    <row r="399" spans="1:17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  <c r="O399">
        <f t="shared" si="18"/>
        <v>53714.310000000005</v>
      </c>
      <c r="P399">
        <f t="shared" si="19"/>
        <v>74267.45</v>
      </c>
      <c r="Q399">
        <f t="shared" si="20"/>
        <v>20553.139999999992</v>
      </c>
    </row>
    <row r="400" spans="1:17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  <c r="O400">
        <f t="shared" si="18"/>
        <v>17973.59</v>
      </c>
      <c r="P400">
        <f t="shared" si="19"/>
        <v>23232.539999999997</v>
      </c>
      <c r="Q400">
        <f t="shared" si="20"/>
        <v>5258.9499999999971</v>
      </c>
    </row>
    <row r="401" spans="1:17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  <c r="O401">
        <f t="shared" si="18"/>
        <v>152801.28</v>
      </c>
      <c r="P401">
        <f t="shared" si="19"/>
        <v>153141.12</v>
      </c>
      <c r="Q401">
        <f t="shared" si="20"/>
        <v>339.83999999999651</v>
      </c>
    </row>
    <row r="402" spans="1:17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  <c r="O402">
        <f t="shared" si="18"/>
        <v>18386.72</v>
      </c>
      <c r="P402">
        <f t="shared" si="19"/>
        <v>20178.96</v>
      </c>
      <c r="Q402">
        <f t="shared" si="20"/>
        <v>1792.239999999998</v>
      </c>
    </row>
    <row r="403" spans="1:17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  <c r="O403">
        <f t="shared" si="18"/>
        <v>1130.44</v>
      </c>
      <c r="P403">
        <f t="shared" si="19"/>
        <v>2193</v>
      </c>
      <c r="Q403">
        <f t="shared" si="20"/>
        <v>1062.56</v>
      </c>
    </row>
    <row r="404" spans="1:17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  <c r="O404">
        <f t="shared" si="18"/>
        <v>29361.039999999997</v>
      </c>
      <c r="P404">
        <f t="shared" si="19"/>
        <v>31719.11</v>
      </c>
      <c r="Q404">
        <f t="shared" si="20"/>
        <v>2358.0700000000033</v>
      </c>
    </row>
    <row r="405" spans="1:17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  <c r="O405">
        <f t="shared" si="18"/>
        <v>84275.09</v>
      </c>
      <c r="P405">
        <f t="shared" si="19"/>
        <v>100099.86</v>
      </c>
      <c r="Q405">
        <f t="shared" si="20"/>
        <v>15824.770000000004</v>
      </c>
    </row>
    <row r="406" spans="1:17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  <c r="O406">
        <f t="shared" si="18"/>
        <v>23429.279999999999</v>
      </c>
      <c r="P406">
        <f t="shared" si="19"/>
        <v>32246.609999999811</v>
      </c>
      <c r="Q406">
        <f t="shared" si="20"/>
        <v>8817.3299999998126</v>
      </c>
    </row>
    <row r="407" spans="1:17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  <c r="O407">
        <f t="shared" si="18"/>
        <v>15814.6</v>
      </c>
      <c r="P407">
        <f t="shared" si="19"/>
        <v>17049.649999999998</v>
      </c>
      <c r="Q407">
        <f t="shared" si="20"/>
        <v>1235.0499999999975</v>
      </c>
    </row>
    <row r="408" spans="1:17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  <c r="O408">
        <f t="shared" si="18"/>
        <v>103036.16</v>
      </c>
      <c r="P408">
        <f t="shared" si="19"/>
        <v>108304</v>
      </c>
      <c r="Q408">
        <f t="shared" si="20"/>
        <v>5267.8399999999965</v>
      </c>
    </row>
    <row r="409" spans="1:17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  <c r="O409">
        <f t="shared" si="18"/>
        <v>93720</v>
      </c>
      <c r="P409">
        <f t="shared" si="19"/>
        <v>102444.76</v>
      </c>
      <c r="Q409">
        <f t="shared" si="20"/>
        <v>8724.7599999999948</v>
      </c>
    </row>
    <row r="410" spans="1:17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  <c r="O410">
        <f t="shared" si="18"/>
        <v>22303.800000000003</v>
      </c>
      <c r="P410">
        <f t="shared" si="19"/>
        <v>24368.22</v>
      </c>
      <c r="Q410">
        <f t="shared" si="20"/>
        <v>2064.4199999999983</v>
      </c>
    </row>
    <row r="411" spans="1:17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  <c r="O411">
        <f t="shared" si="18"/>
        <v>95750.9</v>
      </c>
      <c r="P411">
        <f t="shared" si="19"/>
        <v>111343.04999999965</v>
      </c>
      <c r="Q411">
        <f t="shared" si="20"/>
        <v>15592.149999999659</v>
      </c>
    </row>
    <row r="412" spans="1:17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  <c r="O412">
        <f t="shared" si="18"/>
        <v>72275.5</v>
      </c>
      <c r="P412">
        <f t="shared" si="19"/>
        <v>79960.759999999995</v>
      </c>
      <c r="Q412">
        <f t="shared" si="20"/>
        <v>7685.2599999999948</v>
      </c>
    </row>
    <row r="413" spans="1:17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  <c r="O413">
        <f t="shared" si="18"/>
        <v>1406.24</v>
      </c>
      <c r="P413">
        <f t="shared" si="19"/>
        <v>1535.57</v>
      </c>
      <c r="Q413">
        <f t="shared" si="20"/>
        <v>129.32999999999993</v>
      </c>
    </row>
    <row r="414" spans="1:17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  <c r="O414">
        <f t="shared" si="18"/>
        <v>59712.600000000006</v>
      </c>
      <c r="P414">
        <f t="shared" si="19"/>
        <v>69042.8</v>
      </c>
      <c r="Q414">
        <f t="shared" si="20"/>
        <v>9330.1999999999971</v>
      </c>
    </row>
    <row r="415" spans="1:17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  <c r="O415">
        <f t="shared" si="18"/>
        <v>54376.740000000005</v>
      </c>
      <c r="P415">
        <f t="shared" si="19"/>
        <v>55726.879999999997</v>
      </c>
      <c r="Q415">
        <f t="shared" si="20"/>
        <v>1350.1399999999921</v>
      </c>
    </row>
    <row r="416" spans="1:17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  <c r="O416">
        <f t="shared" si="18"/>
        <v>34082.879999999997</v>
      </c>
      <c r="P416">
        <f t="shared" si="19"/>
        <v>40864.799999999952</v>
      </c>
      <c r="Q416">
        <f t="shared" si="20"/>
        <v>6781.9199999999546</v>
      </c>
    </row>
    <row r="417" spans="1:17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  <c r="O417">
        <f t="shared" si="18"/>
        <v>13756.49</v>
      </c>
      <c r="P417">
        <f t="shared" si="19"/>
        <v>16670.38999999989</v>
      </c>
      <c r="Q417">
        <f t="shared" si="20"/>
        <v>2913.8999999998905</v>
      </c>
    </row>
    <row r="418" spans="1:17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  <c r="O418">
        <f t="shared" si="18"/>
        <v>19420.440000000002</v>
      </c>
      <c r="P418">
        <f t="shared" si="19"/>
        <v>23154.17</v>
      </c>
      <c r="Q418">
        <f t="shared" si="20"/>
        <v>3733.7299999999959</v>
      </c>
    </row>
    <row r="419" spans="1:17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  <c r="O419">
        <f t="shared" si="18"/>
        <v>194263.86</v>
      </c>
      <c r="P419">
        <f t="shared" si="19"/>
        <v>194998.86</v>
      </c>
      <c r="Q419">
        <f t="shared" si="20"/>
        <v>735</v>
      </c>
    </row>
    <row r="420" spans="1:17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  <c r="O420">
        <f t="shared" si="18"/>
        <v>3571.2300000000005</v>
      </c>
      <c r="P420">
        <f t="shared" si="19"/>
        <v>4748.67</v>
      </c>
      <c r="Q420">
        <f t="shared" si="20"/>
        <v>1177.4399999999996</v>
      </c>
    </row>
    <row r="421" spans="1:17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  <c r="O421">
        <f t="shared" si="18"/>
        <v>13335.84</v>
      </c>
      <c r="P421">
        <f t="shared" si="19"/>
        <v>15020.550000000001</v>
      </c>
      <c r="Q421">
        <f t="shared" si="20"/>
        <v>1684.7100000000009</v>
      </c>
    </row>
    <row r="422" spans="1:17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  <c r="O422">
        <f t="shared" si="18"/>
        <v>22539.599999999999</v>
      </c>
      <c r="P422">
        <f t="shared" si="19"/>
        <v>25049.399999999998</v>
      </c>
      <c r="Q422">
        <f t="shared" si="20"/>
        <v>2509.7999999999993</v>
      </c>
    </row>
    <row r="423" spans="1:17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  <c r="O423">
        <f t="shared" si="18"/>
        <v>76717.19</v>
      </c>
      <c r="P423">
        <f t="shared" si="19"/>
        <v>86068.76</v>
      </c>
      <c r="Q423">
        <f t="shared" si="20"/>
        <v>9351.5699999999924</v>
      </c>
    </row>
    <row r="424" spans="1:17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  <c r="O424">
        <f t="shared" si="18"/>
        <v>8893.92</v>
      </c>
      <c r="P424">
        <f t="shared" si="19"/>
        <v>11635.82</v>
      </c>
      <c r="Q424">
        <f t="shared" si="20"/>
        <v>2741.8999999999996</v>
      </c>
    </row>
    <row r="425" spans="1:17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  <c r="O425">
        <f t="shared" si="18"/>
        <v>157476.99</v>
      </c>
      <c r="P425">
        <f t="shared" si="19"/>
        <v>158570.61000000002</v>
      </c>
      <c r="Q425">
        <f t="shared" si="20"/>
        <v>1093.6200000000244</v>
      </c>
    </row>
    <row r="426" spans="1:17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  <c r="O426">
        <f t="shared" si="18"/>
        <v>78022.44</v>
      </c>
      <c r="P426">
        <f t="shared" si="19"/>
        <v>79758.720000000001</v>
      </c>
      <c r="Q426">
        <f t="shared" si="20"/>
        <v>1736.2799999999988</v>
      </c>
    </row>
    <row r="427" spans="1:17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  <c r="O427">
        <f t="shared" si="18"/>
        <v>142453.78</v>
      </c>
      <c r="P427">
        <f t="shared" si="19"/>
        <v>165894.88999999952</v>
      </c>
      <c r="Q427">
        <f t="shared" si="20"/>
        <v>23441.10999999952</v>
      </c>
    </row>
    <row r="428" spans="1:17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  <c r="O428">
        <f t="shared" si="18"/>
        <v>138846.09</v>
      </c>
      <c r="P428">
        <f t="shared" si="19"/>
        <v>140670.59</v>
      </c>
      <c r="Q428">
        <f t="shared" si="20"/>
        <v>1824.5</v>
      </c>
    </row>
    <row r="429" spans="1:17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  <c r="O429">
        <f t="shared" si="18"/>
        <v>1192.23</v>
      </c>
      <c r="P429">
        <f t="shared" si="19"/>
        <v>2847.5099999999998</v>
      </c>
      <c r="Q429">
        <f t="shared" si="20"/>
        <v>1655.2799999999997</v>
      </c>
    </row>
    <row r="430" spans="1:17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  <c r="O430">
        <f t="shared" si="18"/>
        <v>39738.94</v>
      </c>
      <c r="P430">
        <f t="shared" si="19"/>
        <v>45639.82</v>
      </c>
      <c r="Q430">
        <f t="shared" si="20"/>
        <v>5900.8799999999974</v>
      </c>
    </row>
    <row r="431" spans="1:17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  <c r="O431">
        <f t="shared" si="18"/>
        <v>39885.199999999997</v>
      </c>
      <c r="P431">
        <f t="shared" si="19"/>
        <v>42402.299999999996</v>
      </c>
      <c r="Q431">
        <f t="shared" si="20"/>
        <v>2517.0999999999985</v>
      </c>
    </row>
    <row r="432" spans="1:17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  <c r="O432">
        <f t="shared" si="18"/>
        <v>8237.26</v>
      </c>
      <c r="P432">
        <f t="shared" si="19"/>
        <v>8464.1200000000008</v>
      </c>
      <c r="Q432">
        <f t="shared" si="20"/>
        <v>226.86000000000058</v>
      </c>
    </row>
    <row r="433" spans="1:17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  <c r="O433">
        <f t="shared" si="18"/>
        <v>68030.150000000009</v>
      </c>
      <c r="P433">
        <f t="shared" si="19"/>
        <v>80041.94</v>
      </c>
      <c r="Q433">
        <f t="shared" si="20"/>
        <v>12011.789999999994</v>
      </c>
    </row>
    <row r="434" spans="1:17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  <c r="O434">
        <f t="shared" si="18"/>
        <v>14736.099999999999</v>
      </c>
      <c r="P434">
        <f t="shared" si="19"/>
        <v>15726.35</v>
      </c>
      <c r="Q434">
        <f t="shared" si="20"/>
        <v>990.25000000000182</v>
      </c>
    </row>
    <row r="435" spans="1:17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  <c r="O435">
        <f t="shared" si="18"/>
        <v>62004.28</v>
      </c>
      <c r="P435">
        <f t="shared" si="19"/>
        <v>84861.319999999992</v>
      </c>
      <c r="Q435">
        <f t="shared" si="20"/>
        <v>22857.039999999994</v>
      </c>
    </row>
    <row r="436" spans="1:17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  <c r="O436">
        <f t="shared" si="18"/>
        <v>107483.37</v>
      </c>
      <c r="P436">
        <f t="shared" si="19"/>
        <v>109507.13999999978</v>
      </c>
      <c r="Q436">
        <f t="shared" si="20"/>
        <v>2023.7699999997858</v>
      </c>
    </row>
    <row r="437" spans="1:17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  <c r="O437">
        <f t="shared" si="18"/>
        <v>20962.2</v>
      </c>
      <c r="P437">
        <f t="shared" si="19"/>
        <v>26468.399999999998</v>
      </c>
      <c r="Q437">
        <f t="shared" si="20"/>
        <v>5506.1999999999971</v>
      </c>
    </row>
    <row r="438" spans="1:17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  <c r="O438">
        <f t="shared" si="18"/>
        <v>99927.5</v>
      </c>
      <c r="P438">
        <f t="shared" si="19"/>
        <v>105316.24999999999</v>
      </c>
      <c r="Q438">
        <f t="shared" si="20"/>
        <v>5388.7499999999854</v>
      </c>
    </row>
    <row r="439" spans="1:17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  <c r="O439">
        <f t="shared" si="18"/>
        <v>71801.8</v>
      </c>
      <c r="P439">
        <f t="shared" si="19"/>
        <v>77442.12</v>
      </c>
      <c r="Q439">
        <f t="shared" si="20"/>
        <v>5640.3199999999924</v>
      </c>
    </row>
    <row r="440" spans="1:17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  <c r="O440">
        <f t="shared" si="18"/>
        <v>127980.76</v>
      </c>
      <c r="P440">
        <f t="shared" si="19"/>
        <v>139413.59999999998</v>
      </c>
      <c r="Q440">
        <f t="shared" si="20"/>
        <v>11432.839999999982</v>
      </c>
    </row>
    <row r="441" spans="1:17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  <c r="O441">
        <f t="shared" si="18"/>
        <v>71461.8</v>
      </c>
      <c r="P441">
        <f t="shared" si="19"/>
        <v>76663.799999999552</v>
      </c>
      <c r="Q441">
        <f t="shared" si="20"/>
        <v>5201.9999999995489</v>
      </c>
    </row>
    <row r="442" spans="1:17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  <c r="O442">
        <f t="shared" si="18"/>
        <v>124642.56</v>
      </c>
      <c r="P442">
        <f t="shared" si="19"/>
        <v>130322.39999999953</v>
      </c>
      <c r="Q442">
        <f t="shared" si="20"/>
        <v>5679.8399999995308</v>
      </c>
    </row>
    <row r="443" spans="1:17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  <c r="O443">
        <f t="shared" si="18"/>
        <v>201692.51</v>
      </c>
      <c r="P443">
        <f t="shared" si="19"/>
        <v>218956.08000000002</v>
      </c>
      <c r="Q443">
        <f t="shared" si="20"/>
        <v>17263.570000000007</v>
      </c>
    </row>
    <row r="444" spans="1:17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  <c r="O444">
        <f t="shared" si="18"/>
        <v>59026.250000000007</v>
      </c>
      <c r="P444">
        <f t="shared" si="19"/>
        <v>65404.75</v>
      </c>
      <c r="Q444">
        <f t="shared" si="20"/>
        <v>6378.4999999999927</v>
      </c>
    </row>
    <row r="445" spans="1:17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  <c r="O445">
        <f t="shared" si="18"/>
        <v>18306.099999999999</v>
      </c>
      <c r="P445">
        <f t="shared" si="19"/>
        <v>20440.400000000001</v>
      </c>
      <c r="Q445">
        <f t="shared" si="20"/>
        <v>2134.3000000000029</v>
      </c>
    </row>
    <row r="446" spans="1:17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  <c r="O446">
        <f t="shared" si="18"/>
        <v>37855.579999999994</v>
      </c>
      <c r="P446">
        <f t="shared" si="19"/>
        <v>39156.319999999861</v>
      </c>
      <c r="Q446">
        <f t="shared" si="20"/>
        <v>1300.739999999867</v>
      </c>
    </row>
    <row r="447" spans="1:17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  <c r="O447">
        <f t="shared" si="18"/>
        <v>151239.9</v>
      </c>
      <c r="P447">
        <f t="shared" si="19"/>
        <v>155519.27999999959</v>
      </c>
      <c r="Q447">
        <f t="shared" si="20"/>
        <v>4279.3799999995972</v>
      </c>
    </row>
    <row r="448" spans="1:17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  <c r="O448">
        <f t="shared" si="18"/>
        <v>103299.43999999999</v>
      </c>
      <c r="P448">
        <f t="shared" si="19"/>
        <v>103997.26</v>
      </c>
      <c r="Q448">
        <f t="shared" si="20"/>
        <v>697.82000000000698</v>
      </c>
    </row>
    <row r="449" spans="1:17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  <c r="O449">
        <f t="shared" si="18"/>
        <v>140923.19999999998</v>
      </c>
      <c r="P449">
        <f t="shared" si="19"/>
        <v>142567.19999999998</v>
      </c>
      <c r="Q449">
        <f t="shared" si="20"/>
        <v>1644</v>
      </c>
    </row>
    <row r="450" spans="1:17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  <c r="O450">
        <f t="shared" si="18"/>
        <v>61909.18</v>
      </c>
      <c r="P450">
        <f t="shared" si="19"/>
        <v>73506.03</v>
      </c>
      <c r="Q450">
        <f t="shared" si="20"/>
        <v>11596.849999999999</v>
      </c>
    </row>
    <row r="451" spans="1:17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  <c r="O451">
        <f t="shared" ref="O451:O514" si="21">H451*F451</f>
        <v>60088.5</v>
      </c>
      <c r="P451">
        <f t="shared" ref="P451:P514" si="22">I451*F451</f>
        <v>71264</v>
      </c>
      <c r="Q451">
        <f t="shared" ref="Q451:Q514" si="23">P451-O451</f>
        <v>11175.5</v>
      </c>
    </row>
    <row r="452" spans="1:17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  <c r="O452">
        <f t="shared" si="21"/>
        <v>53155.06</v>
      </c>
      <c r="P452">
        <f t="shared" si="22"/>
        <v>55265</v>
      </c>
      <c r="Q452">
        <f t="shared" si="23"/>
        <v>2109.9400000000023</v>
      </c>
    </row>
    <row r="453" spans="1:17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  <c r="O453">
        <f t="shared" si="21"/>
        <v>121140.25</v>
      </c>
      <c r="P453">
        <f t="shared" si="22"/>
        <v>127111.25</v>
      </c>
      <c r="Q453">
        <f t="shared" si="23"/>
        <v>5971</v>
      </c>
    </row>
    <row r="454" spans="1:17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  <c r="O454">
        <f t="shared" si="21"/>
        <v>207600.96000000002</v>
      </c>
      <c r="P454">
        <f t="shared" si="22"/>
        <v>210800.16</v>
      </c>
      <c r="Q454">
        <f t="shared" si="23"/>
        <v>3199.1999999999825</v>
      </c>
    </row>
    <row r="455" spans="1:17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  <c r="O455">
        <f t="shared" si="21"/>
        <v>169463.14</v>
      </c>
      <c r="P455">
        <f t="shared" si="22"/>
        <v>176277.76000000001</v>
      </c>
      <c r="Q455">
        <f t="shared" si="23"/>
        <v>6814.6199999999953</v>
      </c>
    </row>
    <row r="456" spans="1:17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  <c r="O456">
        <f t="shared" si="21"/>
        <v>21629.5</v>
      </c>
      <c r="P456">
        <f t="shared" si="22"/>
        <v>21911.8999999999</v>
      </c>
      <c r="Q456">
        <f t="shared" si="23"/>
        <v>282.39999999989959</v>
      </c>
    </row>
    <row r="457" spans="1:17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  <c r="O457">
        <f t="shared" si="21"/>
        <v>21007</v>
      </c>
      <c r="P457">
        <f t="shared" si="22"/>
        <v>37093.699999999997</v>
      </c>
      <c r="Q457">
        <f t="shared" si="23"/>
        <v>16086.699999999997</v>
      </c>
    </row>
    <row r="458" spans="1:17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  <c r="O458">
        <f t="shared" si="21"/>
        <v>2206.16</v>
      </c>
      <c r="P458">
        <f t="shared" si="22"/>
        <v>5944.18</v>
      </c>
      <c r="Q458">
        <f t="shared" si="23"/>
        <v>3738.0200000000004</v>
      </c>
    </row>
    <row r="459" spans="1:17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  <c r="O459">
        <f t="shared" si="21"/>
        <v>40128.44</v>
      </c>
      <c r="P459">
        <f t="shared" si="22"/>
        <v>45578.61</v>
      </c>
      <c r="Q459">
        <f t="shared" si="23"/>
        <v>5450.1699999999983</v>
      </c>
    </row>
    <row r="460" spans="1:17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  <c r="O460">
        <f t="shared" si="21"/>
        <v>91903.77</v>
      </c>
      <c r="P460">
        <f t="shared" si="22"/>
        <v>101197.95</v>
      </c>
      <c r="Q460">
        <f t="shared" si="23"/>
        <v>9294.179999999993</v>
      </c>
    </row>
    <row r="461" spans="1:17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  <c r="O461">
        <f t="shared" si="21"/>
        <v>23993.13</v>
      </c>
      <c r="P461">
        <f t="shared" si="22"/>
        <v>29070.3</v>
      </c>
      <c r="Q461">
        <f t="shared" si="23"/>
        <v>5077.1699999999983</v>
      </c>
    </row>
    <row r="462" spans="1:17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  <c r="O462">
        <f t="shared" si="21"/>
        <v>18355.04</v>
      </c>
      <c r="P462">
        <f t="shared" si="22"/>
        <v>24177.34</v>
      </c>
      <c r="Q462">
        <f t="shared" si="23"/>
        <v>5822.2999999999993</v>
      </c>
    </row>
    <row r="463" spans="1:17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  <c r="O463">
        <f t="shared" si="21"/>
        <v>16106.400000000001</v>
      </c>
      <c r="P463">
        <f t="shared" si="22"/>
        <v>20758.5</v>
      </c>
      <c r="Q463">
        <f t="shared" si="23"/>
        <v>4652.0999999999985</v>
      </c>
    </row>
    <row r="464" spans="1:17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  <c r="O464">
        <f t="shared" si="21"/>
        <v>28856.66</v>
      </c>
      <c r="P464">
        <f t="shared" si="22"/>
        <v>30511.46</v>
      </c>
      <c r="Q464">
        <f t="shared" si="23"/>
        <v>1654.7999999999993</v>
      </c>
    </row>
    <row r="465" spans="1:17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  <c r="O465">
        <f t="shared" si="21"/>
        <v>27052.78</v>
      </c>
      <c r="P465">
        <f t="shared" si="22"/>
        <v>34744.94</v>
      </c>
      <c r="Q465">
        <f t="shared" si="23"/>
        <v>7692.1600000000035</v>
      </c>
    </row>
    <row r="466" spans="1:17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  <c r="O466">
        <f t="shared" si="21"/>
        <v>4076.8</v>
      </c>
      <c r="P466">
        <f t="shared" si="22"/>
        <v>4146.6400000000003</v>
      </c>
      <c r="Q466">
        <f t="shared" si="23"/>
        <v>69.840000000000146</v>
      </c>
    </row>
    <row r="467" spans="1:17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  <c r="O467">
        <f t="shared" si="21"/>
        <v>30463.32</v>
      </c>
      <c r="P467">
        <f t="shared" si="22"/>
        <v>35661</v>
      </c>
      <c r="Q467">
        <f t="shared" si="23"/>
        <v>5197.68</v>
      </c>
    </row>
    <row r="468" spans="1:17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  <c r="O468">
        <f t="shared" si="21"/>
        <v>176622.18</v>
      </c>
      <c r="P468">
        <f t="shared" si="22"/>
        <v>184058.7</v>
      </c>
      <c r="Q468">
        <f t="shared" si="23"/>
        <v>7436.5200000000186</v>
      </c>
    </row>
    <row r="469" spans="1:17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  <c r="O469">
        <f t="shared" si="21"/>
        <v>58889.159999999996</v>
      </c>
      <c r="P469">
        <f t="shared" si="22"/>
        <v>67002.84</v>
      </c>
      <c r="Q469">
        <f t="shared" si="23"/>
        <v>8113.68</v>
      </c>
    </row>
    <row r="470" spans="1:17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  <c r="O470">
        <f t="shared" si="21"/>
        <v>34040.270000000004</v>
      </c>
      <c r="P470">
        <f t="shared" si="22"/>
        <v>39221.599999999999</v>
      </c>
      <c r="Q470">
        <f t="shared" si="23"/>
        <v>5181.3299999999945</v>
      </c>
    </row>
    <row r="471" spans="1:17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  <c r="O471">
        <f t="shared" si="21"/>
        <v>14713.28</v>
      </c>
      <c r="P471">
        <f t="shared" si="22"/>
        <v>20132.8</v>
      </c>
      <c r="Q471">
        <f t="shared" si="23"/>
        <v>5419.5199999999986</v>
      </c>
    </row>
    <row r="472" spans="1:17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  <c r="O472">
        <f t="shared" si="21"/>
        <v>126924.20999999999</v>
      </c>
      <c r="P472">
        <f t="shared" si="22"/>
        <v>143367.14000000001</v>
      </c>
      <c r="Q472">
        <f t="shared" si="23"/>
        <v>16442.930000000022</v>
      </c>
    </row>
    <row r="473" spans="1:17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  <c r="O473">
        <f t="shared" si="21"/>
        <v>64640.52</v>
      </c>
      <c r="P473">
        <f t="shared" si="22"/>
        <v>68813.819999999992</v>
      </c>
      <c r="Q473">
        <f t="shared" si="23"/>
        <v>4173.2999999999956</v>
      </c>
    </row>
    <row r="474" spans="1:17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  <c r="O474">
        <f t="shared" si="21"/>
        <v>170367.40000000002</v>
      </c>
      <c r="P474">
        <f t="shared" si="22"/>
        <v>185046.75</v>
      </c>
      <c r="Q474">
        <f t="shared" si="23"/>
        <v>14679.349999999977</v>
      </c>
    </row>
    <row r="475" spans="1:17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  <c r="O475">
        <f t="shared" si="21"/>
        <v>27220.959999999999</v>
      </c>
      <c r="P475">
        <f t="shared" si="22"/>
        <v>39731.9</v>
      </c>
      <c r="Q475">
        <f t="shared" si="23"/>
        <v>12510.940000000002</v>
      </c>
    </row>
    <row r="476" spans="1:17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  <c r="O476">
        <f t="shared" si="21"/>
        <v>1555.84</v>
      </c>
      <c r="P476">
        <f t="shared" si="22"/>
        <v>7792.48</v>
      </c>
      <c r="Q476">
        <f t="shared" si="23"/>
        <v>6236.6399999999994</v>
      </c>
    </row>
    <row r="477" spans="1:17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  <c r="O477">
        <f t="shared" si="21"/>
        <v>2536.44</v>
      </c>
      <c r="P477">
        <f t="shared" si="22"/>
        <v>4424.9400000000005</v>
      </c>
      <c r="Q477">
        <f t="shared" si="23"/>
        <v>1888.5000000000005</v>
      </c>
    </row>
    <row r="478" spans="1:17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  <c r="O478">
        <f t="shared" si="21"/>
        <v>84060.680000000008</v>
      </c>
      <c r="P478">
        <f t="shared" si="22"/>
        <v>97583.200000000012</v>
      </c>
      <c r="Q478">
        <f t="shared" si="23"/>
        <v>13522.520000000004</v>
      </c>
    </row>
    <row r="479" spans="1:17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  <c r="O479">
        <f t="shared" si="21"/>
        <v>176803.1</v>
      </c>
      <c r="P479">
        <f t="shared" si="22"/>
        <v>195131.41999999998</v>
      </c>
      <c r="Q479">
        <f t="shared" si="23"/>
        <v>18328.319999999978</v>
      </c>
    </row>
    <row r="480" spans="1:17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  <c r="O480">
        <f t="shared" si="21"/>
        <v>4011.45</v>
      </c>
      <c r="P480">
        <f t="shared" si="22"/>
        <v>16945.379999999954</v>
      </c>
      <c r="Q480">
        <f t="shared" si="23"/>
        <v>12933.929999999953</v>
      </c>
    </row>
    <row r="481" spans="1:17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  <c r="O481">
        <f t="shared" si="21"/>
        <v>108608.54000000001</v>
      </c>
      <c r="P481">
        <f t="shared" si="22"/>
        <v>127591.37</v>
      </c>
      <c r="Q481">
        <f t="shared" si="23"/>
        <v>18982.829999999987</v>
      </c>
    </row>
    <row r="482" spans="1:17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  <c r="O482">
        <f t="shared" si="21"/>
        <v>80625.119999999995</v>
      </c>
      <c r="P482">
        <f t="shared" si="22"/>
        <v>93073.919999999998</v>
      </c>
      <c r="Q482">
        <f t="shared" si="23"/>
        <v>12448.800000000003</v>
      </c>
    </row>
    <row r="483" spans="1:17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  <c r="O483">
        <f t="shared" si="21"/>
        <v>13010.759999999998</v>
      </c>
      <c r="P483">
        <f t="shared" si="22"/>
        <v>14715.96</v>
      </c>
      <c r="Q483">
        <f t="shared" si="23"/>
        <v>1705.2000000000007</v>
      </c>
    </row>
    <row r="484" spans="1:17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  <c r="O484">
        <f t="shared" si="21"/>
        <v>27344.04</v>
      </c>
      <c r="P484">
        <f t="shared" si="22"/>
        <v>29721.600000000002</v>
      </c>
      <c r="Q484">
        <f t="shared" si="23"/>
        <v>2377.5600000000013</v>
      </c>
    </row>
    <row r="485" spans="1:17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  <c r="O485">
        <f t="shared" si="21"/>
        <v>17043.13</v>
      </c>
      <c r="P485">
        <f t="shared" si="22"/>
        <v>20004.27</v>
      </c>
      <c r="Q485">
        <f t="shared" si="23"/>
        <v>2961.1399999999994</v>
      </c>
    </row>
    <row r="486" spans="1:17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  <c r="O486">
        <f t="shared" si="21"/>
        <v>7167.32</v>
      </c>
      <c r="P486">
        <f t="shared" si="22"/>
        <v>7484.88</v>
      </c>
      <c r="Q486">
        <f t="shared" si="23"/>
        <v>317.5600000000004</v>
      </c>
    </row>
    <row r="487" spans="1:17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  <c r="O487">
        <f t="shared" si="21"/>
        <v>138169.20000000001</v>
      </c>
      <c r="P487">
        <f t="shared" si="22"/>
        <v>140517.78</v>
      </c>
      <c r="Q487">
        <f t="shared" si="23"/>
        <v>2348.5799999999872</v>
      </c>
    </row>
    <row r="488" spans="1:17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  <c r="O488">
        <f t="shared" si="21"/>
        <v>5263.36</v>
      </c>
      <c r="P488">
        <f t="shared" si="22"/>
        <v>5808.12</v>
      </c>
      <c r="Q488">
        <f t="shared" si="23"/>
        <v>544.76000000000022</v>
      </c>
    </row>
    <row r="489" spans="1:17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  <c r="O489">
        <f t="shared" si="21"/>
        <v>17342</v>
      </c>
      <c r="P489">
        <f t="shared" si="22"/>
        <v>18686.72</v>
      </c>
      <c r="Q489">
        <f t="shared" si="23"/>
        <v>1344.7200000000012</v>
      </c>
    </row>
    <row r="490" spans="1:17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  <c r="O490">
        <f t="shared" si="21"/>
        <v>129843</v>
      </c>
      <c r="P490">
        <f t="shared" si="22"/>
        <v>134120.87999999998</v>
      </c>
      <c r="Q490">
        <f t="shared" si="23"/>
        <v>4277.8799999999756</v>
      </c>
    </row>
    <row r="491" spans="1:17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  <c r="O491">
        <f t="shared" si="21"/>
        <v>86339.520000000004</v>
      </c>
      <c r="P491">
        <f t="shared" si="22"/>
        <v>96460.47</v>
      </c>
      <c r="Q491">
        <f t="shared" si="23"/>
        <v>10120.949999999997</v>
      </c>
    </row>
    <row r="492" spans="1:17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  <c r="O492">
        <f t="shared" si="21"/>
        <v>57615.75</v>
      </c>
      <c r="P492">
        <f t="shared" si="22"/>
        <v>64854.299999999996</v>
      </c>
      <c r="Q492">
        <f t="shared" si="23"/>
        <v>7238.5499999999956</v>
      </c>
    </row>
    <row r="493" spans="1:17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  <c r="O493">
        <f t="shared" si="21"/>
        <v>3536.88</v>
      </c>
      <c r="P493">
        <f t="shared" si="22"/>
        <v>6430.96</v>
      </c>
      <c r="Q493">
        <f t="shared" si="23"/>
        <v>2894.08</v>
      </c>
    </row>
    <row r="494" spans="1:17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  <c r="O494">
        <f t="shared" si="21"/>
        <v>1980.58</v>
      </c>
      <c r="P494">
        <f t="shared" si="22"/>
        <v>5455.3099999999931</v>
      </c>
      <c r="Q494">
        <f t="shared" si="23"/>
        <v>3474.7299999999932</v>
      </c>
    </row>
    <row r="495" spans="1:17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  <c r="O495">
        <f t="shared" si="21"/>
        <v>6874.6900000000005</v>
      </c>
      <c r="P495">
        <f t="shared" si="22"/>
        <v>23427.62</v>
      </c>
      <c r="Q495">
        <f t="shared" si="23"/>
        <v>16552.93</v>
      </c>
    </row>
    <row r="496" spans="1:17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  <c r="O496">
        <f t="shared" si="21"/>
        <v>45288.38</v>
      </c>
      <c r="P496">
        <f t="shared" si="22"/>
        <v>52370.54</v>
      </c>
      <c r="Q496">
        <f t="shared" si="23"/>
        <v>7082.1600000000035</v>
      </c>
    </row>
    <row r="497" spans="1:17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  <c r="O497">
        <f t="shared" si="21"/>
        <v>84052.800000000003</v>
      </c>
      <c r="P497">
        <f t="shared" si="22"/>
        <v>97625.200000000012</v>
      </c>
      <c r="Q497">
        <f t="shared" si="23"/>
        <v>13572.400000000009</v>
      </c>
    </row>
    <row r="498" spans="1:17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  <c r="O498">
        <f t="shared" si="21"/>
        <v>56188.08</v>
      </c>
      <c r="P498">
        <f t="shared" si="22"/>
        <v>60436.799999999996</v>
      </c>
      <c r="Q498">
        <f t="shared" si="23"/>
        <v>4248.7199999999939</v>
      </c>
    </row>
    <row r="499" spans="1:17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  <c r="O499">
        <f t="shared" si="21"/>
        <v>30061.85</v>
      </c>
      <c r="P499">
        <f t="shared" si="22"/>
        <v>32559.8</v>
      </c>
      <c r="Q499">
        <f t="shared" si="23"/>
        <v>2497.9500000000007</v>
      </c>
    </row>
    <row r="500" spans="1:17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  <c r="O500">
        <f t="shared" si="21"/>
        <v>63930.68</v>
      </c>
      <c r="P500">
        <f t="shared" si="22"/>
        <v>64733.920000000006</v>
      </c>
      <c r="Q500">
        <f t="shared" si="23"/>
        <v>803.24000000000524</v>
      </c>
    </row>
    <row r="501" spans="1:17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  <c r="O501">
        <f t="shared" si="21"/>
        <v>48136.86</v>
      </c>
      <c r="P501">
        <f t="shared" si="22"/>
        <v>54164.55</v>
      </c>
      <c r="Q501">
        <f t="shared" si="23"/>
        <v>6027.6900000000023</v>
      </c>
    </row>
    <row r="502" spans="1:17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  <c r="O502">
        <f t="shared" si="21"/>
        <v>10269.36</v>
      </c>
      <c r="P502">
        <f t="shared" si="22"/>
        <v>10620.07</v>
      </c>
      <c r="Q502">
        <f t="shared" si="23"/>
        <v>350.70999999999913</v>
      </c>
    </row>
    <row r="503" spans="1:17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  <c r="O503">
        <f t="shared" si="21"/>
        <v>110413.8</v>
      </c>
      <c r="P503">
        <f t="shared" si="22"/>
        <v>121907.88</v>
      </c>
      <c r="Q503">
        <f t="shared" si="23"/>
        <v>11494.080000000002</v>
      </c>
    </row>
    <row r="504" spans="1:17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  <c r="O504">
        <f t="shared" si="21"/>
        <v>60138.539999999994</v>
      </c>
      <c r="P504">
        <f t="shared" si="22"/>
        <v>62032.11</v>
      </c>
      <c r="Q504">
        <f t="shared" si="23"/>
        <v>1893.570000000007</v>
      </c>
    </row>
    <row r="505" spans="1:17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  <c r="O505">
        <f t="shared" si="21"/>
        <v>31762.959999999999</v>
      </c>
      <c r="P505">
        <f t="shared" si="22"/>
        <v>34060.159999999923</v>
      </c>
      <c r="Q505">
        <f t="shared" si="23"/>
        <v>2297.1999999999243</v>
      </c>
    </row>
    <row r="506" spans="1:17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  <c r="O506">
        <f t="shared" si="21"/>
        <v>24670.5</v>
      </c>
      <c r="P506">
        <f t="shared" si="22"/>
        <v>25955.100000000002</v>
      </c>
      <c r="Q506">
        <f t="shared" si="23"/>
        <v>1284.6000000000022</v>
      </c>
    </row>
    <row r="507" spans="1:17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  <c r="O507">
        <f t="shared" si="21"/>
        <v>33587.32</v>
      </c>
      <c r="P507">
        <f t="shared" si="22"/>
        <v>34019.43999999974</v>
      </c>
      <c r="Q507">
        <f t="shared" si="23"/>
        <v>432.11999999974068</v>
      </c>
    </row>
    <row r="508" spans="1:17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  <c r="O508">
        <f t="shared" si="21"/>
        <v>41164.800000000003</v>
      </c>
      <c r="P508">
        <f t="shared" si="22"/>
        <v>44169.599999999999</v>
      </c>
      <c r="Q508">
        <f t="shared" si="23"/>
        <v>3004.7999999999956</v>
      </c>
    </row>
    <row r="509" spans="1:17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  <c r="O509">
        <f t="shared" si="21"/>
        <v>163759.67999999999</v>
      </c>
      <c r="P509">
        <f t="shared" si="22"/>
        <v>174722.76</v>
      </c>
      <c r="Q509">
        <f t="shared" si="23"/>
        <v>10963.080000000016</v>
      </c>
    </row>
    <row r="510" spans="1:17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  <c r="O510">
        <f t="shared" si="21"/>
        <v>110227.32</v>
      </c>
      <c r="P510">
        <f t="shared" si="22"/>
        <v>122150.28</v>
      </c>
      <c r="Q510">
        <f t="shared" si="23"/>
        <v>11922.959999999992</v>
      </c>
    </row>
    <row r="511" spans="1:17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  <c r="O511">
        <f t="shared" si="21"/>
        <v>71417.14</v>
      </c>
      <c r="P511">
        <f t="shared" si="22"/>
        <v>84334.60999999971</v>
      </c>
      <c r="Q511">
        <f t="shared" si="23"/>
        <v>12917.46999999971</v>
      </c>
    </row>
    <row r="512" spans="1:17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  <c r="O512">
        <f t="shared" si="21"/>
        <v>222290.73</v>
      </c>
      <c r="P512">
        <f t="shared" si="22"/>
        <v>233903.96000000002</v>
      </c>
      <c r="Q512">
        <f t="shared" si="23"/>
        <v>11613.23000000001</v>
      </c>
    </row>
    <row r="513" spans="1:17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  <c r="O513">
        <f t="shared" si="21"/>
        <v>3999.84</v>
      </c>
      <c r="P513">
        <f t="shared" si="22"/>
        <v>8403</v>
      </c>
      <c r="Q513">
        <f t="shared" si="23"/>
        <v>4403.16</v>
      </c>
    </row>
    <row r="514" spans="1:17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  <c r="O514">
        <f t="shared" si="21"/>
        <v>172362.28</v>
      </c>
      <c r="P514">
        <f t="shared" si="22"/>
        <v>178469.5</v>
      </c>
      <c r="Q514">
        <f t="shared" si="23"/>
        <v>6107.2200000000012</v>
      </c>
    </row>
    <row r="515" spans="1:17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  <c r="O515">
        <f t="shared" ref="O515:O578" si="24">H515*F515</f>
        <v>9000.2999999999993</v>
      </c>
      <c r="P515">
        <f t="shared" ref="P515:P578" si="25">I515*F515</f>
        <v>14330.399999999969</v>
      </c>
      <c r="Q515">
        <f t="shared" ref="Q515:Q578" si="26">P515-O515</f>
        <v>5330.0999999999694</v>
      </c>
    </row>
    <row r="516" spans="1:17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  <c r="O516">
        <f t="shared" si="24"/>
        <v>63460.679999999993</v>
      </c>
      <c r="P516">
        <f t="shared" si="25"/>
        <v>65882.349999999991</v>
      </c>
      <c r="Q516">
        <f t="shared" si="26"/>
        <v>2421.6699999999983</v>
      </c>
    </row>
    <row r="517" spans="1:17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  <c r="O517">
        <f t="shared" si="24"/>
        <v>71322.880000000005</v>
      </c>
      <c r="P517">
        <f t="shared" si="25"/>
        <v>75888.479999999996</v>
      </c>
      <c r="Q517">
        <f t="shared" si="26"/>
        <v>4565.5999999999913</v>
      </c>
    </row>
    <row r="518" spans="1:17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  <c r="O518">
        <f t="shared" si="24"/>
        <v>18906.580000000002</v>
      </c>
      <c r="P518">
        <f t="shared" si="25"/>
        <v>21204.539999999997</v>
      </c>
      <c r="Q518">
        <f t="shared" si="26"/>
        <v>2297.9599999999955</v>
      </c>
    </row>
    <row r="519" spans="1:17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  <c r="O519">
        <f t="shared" si="24"/>
        <v>23876.300000000003</v>
      </c>
      <c r="P519">
        <f t="shared" si="25"/>
        <v>24389.699999999997</v>
      </c>
      <c r="Q519">
        <f t="shared" si="26"/>
        <v>513.39999999999418</v>
      </c>
    </row>
    <row r="520" spans="1:17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  <c r="O520">
        <f t="shared" si="24"/>
        <v>11588.01</v>
      </c>
      <c r="P520">
        <f t="shared" si="25"/>
        <v>14007.56</v>
      </c>
      <c r="Q520">
        <f t="shared" si="26"/>
        <v>2419.5499999999993</v>
      </c>
    </row>
    <row r="521" spans="1:17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  <c r="O521">
        <f t="shared" si="24"/>
        <v>214339.94999999998</v>
      </c>
      <c r="P521">
        <f t="shared" si="25"/>
        <v>230395.94999999998</v>
      </c>
      <c r="Q521">
        <f t="shared" si="26"/>
        <v>16056</v>
      </c>
    </row>
    <row r="522" spans="1:17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  <c r="O522">
        <f t="shared" si="24"/>
        <v>152700.85</v>
      </c>
      <c r="P522">
        <f t="shared" si="25"/>
        <v>159597.65</v>
      </c>
      <c r="Q522">
        <f t="shared" si="26"/>
        <v>6896.7999999999884</v>
      </c>
    </row>
    <row r="523" spans="1:17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  <c r="O523">
        <f t="shared" si="24"/>
        <v>103227.24</v>
      </c>
      <c r="P523">
        <f t="shared" si="25"/>
        <v>104607.35</v>
      </c>
      <c r="Q523">
        <f t="shared" si="26"/>
        <v>1380.1100000000006</v>
      </c>
    </row>
    <row r="524" spans="1:17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  <c r="O524">
        <f t="shared" si="24"/>
        <v>8876.25</v>
      </c>
      <c r="P524">
        <f t="shared" si="25"/>
        <v>9532.92</v>
      </c>
      <c r="Q524">
        <f t="shared" si="26"/>
        <v>656.67000000000007</v>
      </c>
    </row>
    <row r="525" spans="1:17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  <c r="O525">
        <f t="shared" si="24"/>
        <v>61678.950000000004</v>
      </c>
      <c r="P525">
        <f t="shared" si="25"/>
        <v>65080.05</v>
      </c>
      <c r="Q525">
        <f t="shared" si="26"/>
        <v>3401.0999999999985</v>
      </c>
    </row>
    <row r="526" spans="1:17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  <c r="O526">
        <f t="shared" si="24"/>
        <v>71701.919999999998</v>
      </c>
      <c r="P526">
        <f t="shared" si="25"/>
        <v>83857.319999999992</v>
      </c>
      <c r="Q526">
        <f t="shared" si="26"/>
        <v>12155.399999999994</v>
      </c>
    </row>
    <row r="527" spans="1:17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  <c r="O527">
        <f t="shared" si="24"/>
        <v>106472.86</v>
      </c>
      <c r="P527">
        <f t="shared" si="25"/>
        <v>114206.70999999999</v>
      </c>
      <c r="Q527">
        <f t="shared" si="26"/>
        <v>7733.8499999999913</v>
      </c>
    </row>
    <row r="528" spans="1:17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  <c r="O528">
        <f t="shared" si="24"/>
        <v>168521.46000000002</v>
      </c>
      <c r="P528">
        <f t="shared" si="25"/>
        <v>184367.08</v>
      </c>
      <c r="Q528">
        <f t="shared" si="26"/>
        <v>15845.619999999966</v>
      </c>
    </row>
    <row r="529" spans="1:17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  <c r="O529">
        <f t="shared" si="24"/>
        <v>34596.910000000003</v>
      </c>
      <c r="P529">
        <f t="shared" si="25"/>
        <v>42900.480000000003</v>
      </c>
      <c r="Q529">
        <f t="shared" si="26"/>
        <v>8303.57</v>
      </c>
    </row>
    <row r="530" spans="1:17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  <c r="O530">
        <f t="shared" si="24"/>
        <v>4762.03</v>
      </c>
      <c r="P530">
        <f t="shared" si="25"/>
        <v>6404.84</v>
      </c>
      <c r="Q530">
        <f t="shared" si="26"/>
        <v>1642.8100000000004</v>
      </c>
    </row>
    <row r="531" spans="1:17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  <c r="O531">
        <f t="shared" si="24"/>
        <v>17554.32</v>
      </c>
      <c r="P531">
        <f t="shared" si="25"/>
        <v>38120.46</v>
      </c>
      <c r="Q531">
        <f t="shared" si="26"/>
        <v>20566.14</v>
      </c>
    </row>
    <row r="532" spans="1:17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  <c r="O532">
        <f t="shared" si="24"/>
        <v>13042.05</v>
      </c>
      <c r="P532">
        <f t="shared" si="25"/>
        <v>17227.769999999979</v>
      </c>
      <c r="Q532">
        <f t="shared" si="26"/>
        <v>4185.7199999999793</v>
      </c>
    </row>
    <row r="533" spans="1:17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  <c r="O533">
        <f t="shared" si="24"/>
        <v>161132.04</v>
      </c>
      <c r="P533">
        <f t="shared" si="25"/>
        <v>166347.56</v>
      </c>
      <c r="Q533">
        <f t="shared" si="26"/>
        <v>5215.5199999999895</v>
      </c>
    </row>
    <row r="534" spans="1:17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  <c r="O534">
        <f t="shared" si="24"/>
        <v>64463.040000000001</v>
      </c>
      <c r="P534">
        <f t="shared" si="25"/>
        <v>70309.62</v>
      </c>
      <c r="Q534">
        <f t="shared" si="26"/>
        <v>5846.5799999999945</v>
      </c>
    </row>
    <row r="535" spans="1:17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  <c r="O535">
        <f t="shared" si="24"/>
        <v>103784.33</v>
      </c>
      <c r="P535">
        <f t="shared" si="25"/>
        <v>105415.58</v>
      </c>
      <c r="Q535">
        <f t="shared" si="26"/>
        <v>1631.25</v>
      </c>
    </row>
    <row r="536" spans="1:17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  <c r="O536">
        <f t="shared" si="24"/>
        <v>39898</v>
      </c>
      <c r="P536">
        <f t="shared" si="25"/>
        <v>41330</v>
      </c>
      <c r="Q536">
        <f t="shared" si="26"/>
        <v>1432</v>
      </c>
    </row>
    <row r="537" spans="1:17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  <c r="O537">
        <f t="shared" si="24"/>
        <v>33265.5</v>
      </c>
      <c r="P537">
        <f t="shared" si="25"/>
        <v>38592.249999999753</v>
      </c>
      <c r="Q537">
        <f t="shared" si="26"/>
        <v>5326.7499999997526</v>
      </c>
    </row>
    <row r="538" spans="1:17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  <c r="O538">
        <f t="shared" si="24"/>
        <v>10611.599999999999</v>
      </c>
      <c r="P538">
        <f t="shared" si="25"/>
        <v>12913.199999999999</v>
      </c>
      <c r="Q538">
        <f t="shared" si="26"/>
        <v>2301.6000000000004</v>
      </c>
    </row>
    <row r="539" spans="1:17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  <c r="O539">
        <f t="shared" si="24"/>
        <v>143323.19999999998</v>
      </c>
      <c r="P539">
        <f t="shared" si="25"/>
        <v>159564.59999999966</v>
      </c>
      <c r="Q539">
        <f t="shared" si="26"/>
        <v>16241.399999999674</v>
      </c>
    </row>
    <row r="540" spans="1:17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  <c r="O540">
        <f t="shared" si="24"/>
        <v>6289.64</v>
      </c>
      <c r="P540">
        <f t="shared" si="25"/>
        <v>6961.16</v>
      </c>
      <c r="Q540">
        <f t="shared" si="26"/>
        <v>671.51999999999953</v>
      </c>
    </row>
    <row r="541" spans="1:17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  <c r="O541">
        <f t="shared" si="24"/>
        <v>103209.04</v>
      </c>
      <c r="P541">
        <f t="shared" si="25"/>
        <v>104563.36</v>
      </c>
      <c r="Q541">
        <f t="shared" si="26"/>
        <v>1354.320000000007</v>
      </c>
    </row>
    <row r="542" spans="1:17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  <c r="O542">
        <f t="shared" si="24"/>
        <v>109265.28</v>
      </c>
      <c r="P542">
        <f t="shared" si="25"/>
        <v>120122.56</v>
      </c>
      <c r="Q542">
        <f t="shared" si="26"/>
        <v>10857.279999999999</v>
      </c>
    </row>
    <row r="543" spans="1:17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  <c r="O543">
        <f t="shared" si="24"/>
        <v>45958.400000000001</v>
      </c>
      <c r="P543">
        <f t="shared" si="25"/>
        <v>51100.160000000003</v>
      </c>
      <c r="Q543">
        <f t="shared" si="26"/>
        <v>5141.760000000002</v>
      </c>
    </row>
    <row r="544" spans="1:17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  <c r="O544">
        <f t="shared" si="24"/>
        <v>55268.46</v>
      </c>
      <c r="P544">
        <f t="shared" si="25"/>
        <v>62555.22</v>
      </c>
      <c r="Q544">
        <f t="shared" si="26"/>
        <v>7286.760000000002</v>
      </c>
    </row>
    <row r="545" spans="1:17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  <c r="O545">
        <f t="shared" si="24"/>
        <v>23573.699999999997</v>
      </c>
      <c r="P545">
        <f t="shared" si="25"/>
        <v>25645.55</v>
      </c>
      <c r="Q545">
        <f t="shared" si="26"/>
        <v>2071.8500000000022</v>
      </c>
    </row>
    <row r="546" spans="1:17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  <c r="O546">
        <f t="shared" si="24"/>
        <v>142257.24</v>
      </c>
      <c r="P546">
        <f t="shared" si="25"/>
        <v>157932.36000000002</v>
      </c>
      <c r="Q546">
        <f t="shared" si="26"/>
        <v>15675.120000000024</v>
      </c>
    </row>
    <row r="547" spans="1:17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  <c r="O547">
        <f t="shared" si="24"/>
        <v>5070</v>
      </c>
      <c r="P547">
        <f t="shared" si="25"/>
        <v>11457.599999999969</v>
      </c>
      <c r="Q547">
        <f t="shared" si="26"/>
        <v>6387.5999999999694</v>
      </c>
    </row>
    <row r="548" spans="1:17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  <c r="O548">
        <f t="shared" si="24"/>
        <v>121229.54999999999</v>
      </c>
      <c r="P548">
        <f t="shared" si="25"/>
        <v>137067.29999999955</v>
      </c>
      <c r="Q548">
        <f t="shared" si="26"/>
        <v>15837.749999999563</v>
      </c>
    </row>
    <row r="549" spans="1:17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  <c r="O549">
        <f t="shared" si="24"/>
        <v>65688.320000000007</v>
      </c>
      <c r="P549">
        <f t="shared" si="25"/>
        <v>68375.679999999993</v>
      </c>
      <c r="Q549">
        <f t="shared" si="26"/>
        <v>2687.359999999986</v>
      </c>
    </row>
    <row r="550" spans="1:17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  <c r="O550">
        <f t="shared" si="24"/>
        <v>86389.38</v>
      </c>
      <c r="P550">
        <f t="shared" si="25"/>
        <v>97881.79</v>
      </c>
      <c r="Q550">
        <f t="shared" si="26"/>
        <v>11492.409999999989</v>
      </c>
    </row>
    <row r="551" spans="1:17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  <c r="O551">
        <f t="shared" si="24"/>
        <v>37571.699999999997</v>
      </c>
      <c r="P551">
        <f t="shared" si="25"/>
        <v>40832.639999999999</v>
      </c>
      <c r="Q551">
        <f t="shared" si="26"/>
        <v>3260.9400000000023</v>
      </c>
    </row>
    <row r="552" spans="1:17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  <c r="O552">
        <f t="shared" si="24"/>
        <v>56452.89</v>
      </c>
      <c r="P552">
        <f t="shared" si="25"/>
        <v>56647.369999999995</v>
      </c>
      <c r="Q552">
        <f t="shared" si="26"/>
        <v>194.47999999999593</v>
      </c>
    </row>
    <row r="553" spans="1:17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  <c r="O553">
        <f t="shared" si="24"/>
        <v>205601.06</v>
      </c>
      <c r="P553">
        <f t="shared" si="25"/>
        <v>209166.62</v>
      </c>
      <c r="Q553">
        <f t="shared" si="26"/>
        <v>3565.5599999999977</v>
      </c>
    </row>
    <row r="554" spans="1:17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  <c r="O554">
        <f t="shared" si="24"/>
        <v>35430.46</v>
      </c>
      <c r="P554">
        <f t="shared" si="25"/>
        <v>46745.68</v>
      </c>
      <c r="Q554">
        <f t="shared" si="26"/>
        <v>11315.220000000001</v>
      </c>
    </row>
    <row r="555" spans="1:17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  <c r="O555">
        <f t="shared" si="24"/>
        <v>159082.19999999998</v>
      </c>
      <c r="P555">
        <f t="shared" si="25"/>
        <v>167323.32</v>
      </c>
      <c r="Q555">
        <f t="shared" si="26"/>
        <v>8241.1200000000244</v>
      </c>
    </row>
    <row r="556" spans="1:17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  <c r="O556">
        <f t="shared" si="24"/>
        <v>11660.88</v>
      </c>
      <c r="P556">
        <f t="shared" si="25"/>
        <v>16705.039999999979</v>
      </c>
      <c r="Q556">
        <f t="shared" si="26"/>
        <v>5044.1599999999798</v>
      </c>
    </row>
    <row r="557" spans="1:17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  <c r="O557">
        <f t="shared" si="24"/>
        <v>15310.25</v>
      </c>
      <c r="P557">
        <f t="shared" si="25"/>
        <v>37774.370000000003</v>
      </c>
      <c r="Q557">
        <f t="shared" si="26"/>
        <v>22464.120000000003</v>
      </c>
    </row>
    <row r="558" spans="1:17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  <c r="O558">
        <f t="shared" si="24"/>
        <v>24827.759999999998</v>
      </c>
      <c r="P558">
        <f t="shared" si="25"/>
        <v>41410.080000000002</v>
      </c>
      <c r="Q558">
        <f t="shared" si="26"/>
        <v>16582.320000000003</v>
      </c>
    </row>
    <row r="559" spans="1:17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  <c r="O559">
        <f t="shared" si="24"/>
        <v>3022.38</v>
      </c>
      <c r="P559">
        <f t="shared" si="25"/>
        <v>4484.79</v>
      </c>
      <c r="Q559">
        <f t="shared" si="26"/>
        <v>1462.4099999999999</v>
      </c>
    </row>
    <row r="560" spans="1:17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  <c r="O560">
        <f t="shared" si="24"/>
        <v>165079.59000000003</v>
      </c>
      <c r="P560">
        <f t="shared" si="25"/>
        <v>169464.75</v>
      </c>
      <c r="Q560">
        <f t="shared" si="26"/>
        <v>4385.1599999999744</v>
      </c>
    </row>
    <row r="561" spans="1:17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  <c r="O561">
        <f t="shared" si="24"/>
        <v>6503.7</v>
      </c>
      <c r="P561">
        <f t="shared" si="25"/>
        <v>14593.14</v>
      </c>
      <c r="Q561">
        <f t="shared" si="26"/>
        <v>8089.44</v>
      </c>
    </row>
    <row r="562" spans="1:17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  <c r="O562">
        <f t="shared" si="24"/>
        <v>53000.12</v>
      </c>
      <c r="P562">
        <f t="shared" si="25"/>
        <v>70250.22</v>
      </c>
      <c r="Q562">
        <f t="shared" si="26"/>
        <v>17250.099999999999</v>
      </c>
    </row>
    <row r="563" spans="1:17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  <c r="O563">
        <f t="shared" si="24"/>
        <v>3381.54</v>
      </c>
      <c r="P563">
        <f t="shared" si="25"/>
        <v>5033.82</v>
      </c>
      <c r="Q563">
        <f t="shared" si="26"/>
        <v>1652.2799999999997</v>
      </c>
    </row>
    <row r="564" spans="1:17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  <c r="O564">
        <f t="shared" si="24"/>
        <v>71079.98</v>
      </c>
      <c r="P564">
        <f t="shared" si="25"/>
        <v>86045.72</v>
      </c>
      <c r="Q564">
        <f t="shared" si="26"/>
        <v>14965.740000000005</v>
      </c>
    </row>
    <row r="565" spans="1:17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  <c r="O565">
        <f t="shared" si="24"/>
        <v>7474.0499999999993</v>
      </c>
      <c r="P565">
        <f t="shared" si="25"/>
        <v>9512.4</v>
      </c>
      <c r="Q565">
        <f t="shared" si="26"/>
        <v>2038.3500000000004</v>
      </c>
    </row>
    <row r="566" spans="1:17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  <c r="O566">
        <f t="shared" si="24"/>
        <v>67132.399999999994</v>
      </c>
      <c r="P566">
        <f t="shared" si="25"/>
        <v>75180.199999999808</v>
      </c>
      <c r="Q566">
        <f t="shared" si="26"/>
        <v>8047.7999999998137</v>
      </c>
    </row>
    <row r="567" spans="1:17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  <c r="O567">
        <f t="shared" si="24"/>
        <v>6389.7300000000005</v>
      </c>
      <c r="P567">
        <f t="shared" si="25"/>
        <v>9267.39</v>
      </c>
      <c r="Q567">
        <f t="shared" si="26"/>
        <v>2877.6599999999989</v>
      </c>
    </row>
    <row r="568" spans="1:17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  <c r="O568">
        <f t="shared" si="24"/>
        <v>136532.48000000001</v>
      </c>
      <c r="P568">
        <f t="shared" si="25"/>
        <v>144747.51999999999</v>
      </c>
      <c r="Q568">
        <f t="shared" si="26"/>
        <v>8215.039999999979</v>
      </c>
    </row>
    <row r="569" spans="1:17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  <c r="O569">
        <f t="shared" si="24"/>
        <v>16380.4</v>
      </c>
      <c r="P569">
        <f t="shared" si="25"/>
        <v>16538.2</v>
      </c>
      <c r="Q569">
        <f t="shared" si="26"/>
        <v>157.80000000000109</v>
      </c>
    </row>
    <row r="570" spans="1:17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  <c r="O570">
        <f t="shared" si="24"/>
        <v>2117.34</v>
      </c>
      <c r="P570">
        <f t="shared" si="25"/>
        <v>10375.920000000002</v>
      </c>
      <c r="Q570">
        <f t="shared" si="26"/>
        <v>8258.5800000000017</v>
      </c>
    </row>
    <row r="571" spans="1:17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  <c r="O571">
        <f t="shared" si="24"/>
        <v>22419.25</v>
      </c>
      <c r="P571">
        <f t="shared" si="25"/>
        <v>23977.1</v>
      </c>
      <c r="Q571">
        <f t="shared" si="26"/>
        <v>1557.8499999999985</v>
      </c>
    </row>
    <row r="572" spans="1:17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  <c r="O572">
        <f t="shared" si="24"/>
        <v>3865.4</v>
      </c>
      <c r="P572">
        <f t="shared" si="25"/>
        <v>5953.8</v>
      </c>
      <c r="Q572">
        <f t="shared" si="26"/>
        <v>2088.4</v>
      </c>
    </row>
    <row r="573" spans="1:17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  <c r="O573">
        <f t="shared" si="24"/>
        <v>28433.75</v>
      </c>
      <c r="P573">
        <f t="shared" si="25"/>
        <v>35497.740000000005</v>
      </c>
      <c r="Q573">
        <f t="shared" si="26"/>
        <v>7063.9900000000052</v>
      </c>
    </row>
    <row r="574" spans="1:17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  <c r="O574">
        <f t="shared" si="24"/>
        <v>2313.63</v>
      </c>
      <c r="P574">
        <f t="shared" si="25"/>
        <v>6075.19</v>
      </c>
      <c r="Q574">
        <f t="shared" si="26"/>
        <v>3761.5599999999995</v>
      </c>
    </row>
    <row r="575" spans="1:17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  <c r="O575">
        <f t="shared" si="24"/>
        <v>63359.91</v>
      </c>
      <c r="P575">
        <f t="shared" si="25"/>
        <v>73262.22</v>
      </c>
      <c r="Q575">
        <f t="shared" si="26"/>
        <v>9902.3099999999977</v>
      </c>
    </row>
    <row r="576" spans="1:17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  <c r="O576">
        <f t="shared" si="24"/>
        <v>57060.079999999994</v>
      </c>
      <c r="P576">
        <f t="shared" si="25"/>
        <v>65021.219999999783</v>
      </c>
      <c r="Q576">
        <f t="shared" si="26"/>
        <v>7961.1399999997884</v>
      </c>
    </row>
    <row r="577" spans="1:17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  <c r="O577">
        <f t="shared" si="24"/>
        <v>15973.56</v>
      </c>
      <c r="P577">
        <f t="shared" si="25"/>
        <v>17153.2</v>
      </c>
      <c r="Q577">
        <f t="shared" si="26"/>
        <v>1179.6400000000012</v>
      </c>
    </row>
    <row r="578" spans="1:17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  <c r="O578">
        <f t="shared" si="24"/>
        <v>49967.29</v>
      </c>
      <c r="P578">
        <f t="shared" si="25"/>
        <v>63725.18</v>
      </c>
      <c r="Q578">
        <f t="shared" si="26"/>
        <v>13757.89</v>
      </c>
    </row>
    <row r="579" spans="1:17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  <c r="O579">
        <f t="shared" ref="O579:O642" si="27">H579*F579</f>
        <v>155855.91999999998</v>
      </c>
      <c r="P579">
        <f t="shared" ref="P579:P642" si="28">I579*F579</f>
        <v>157453.56</v>
      </c>
      <c r="Q579">
        <f t="shared" ref="Q579:Q642" si="29">P579-O579</f>
        <v>1597.640000000014</v>
      </c>
    </row>
    <row r="580" spans="1:17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  <c r="O580">
        <f t="shared" si="27"/>
        <v>33257.1</v>
      </c>
      <c r="P580">
        <f t="shared" si="28"/>
        <v>35367.14</v>
      </c>
      <c r="Q580">
        <f t="shared" si="29"/>
        <v>2110.0400000000009</v>
      </c>
    </row>
    <row r="581" spans="1:17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  <c r="O581">
        <f t="shared" si="27"/>
        <v>48950.98</v>
      </c>
      <c r="P581">
        <f t="shared" si="28"/>
        <v>50187.28</v>
      </c>
      <c r="Q581">
        <f t="shared" si="29"/>
        <v>1236.2999999999956</v>
      </c>
    </row>
    <row r="582" spans="1:17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  <c r="O582">
        <f t="shared" si="27"/>
        <v>51163.560000000005</v>
      </c>
      <c r="P582">
        <f t="shared" si="28"/>
        <v>65787.12</v>
      </c>
      <c r="Q582">
        <f t="shared" si="29"/>
        <v>14623.55999999999</v>
      </c>
    </row>
    <row r="583" spans="1:17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  <c r="O583">
        <f t="shared" si="27"/>
        <v>6844.95</v>
      </c>
      <c r="P583">
        <f t="shared" si="28"/>
        <v>9782.0099999999111</v>
      </c>
      <c r="Q583">
        <f t="shared" si="29"/>
        <v>2937.0599999999113</v>
      </c>
    </row>
    <row r="584" spans="1:17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  <c r="O584">
        <f t="shared" si="27"/>
        <v>40646.339999999997</v>
      </c>
      <c r="P584">
        <f t="shared" si="28"/>
        <v>59424.960000000006</v>
      </c>
      <c r="Q584">
        <f t="shared" si="29"/>
        <v>18778.62000000001</v>
      </c>
    </row>
    <row r="585" spans="1:17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  <c r="O585">
        <f t="shared" si="27"/>
        <v>29487.510000000002</v>
      </c>
      <c r="P585">
        <f t="shared" si="28"/>
        <v>40929.919999999998</v>
      </c>
      <c r="Q585">
        <f t="shared" si="29"/>
        <v>11442.409999999996</v>
      </c>
    </row>
    <row r="586" spans="1:17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  <c r="O586">
        <f t="shared" si="27"/>
        <v>18120.690000000002</v>
      </c>
      <c r="P586">
        <f t="shared" si="28"/>
        <v>19934.32</v>
      </c>
      <c r="Q586">
        <f t="shared" si="29"/>
        <v>1813.6299999999974</v>
      </c>
    </row>
    <row r="587" spans="1:17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  <c r="O587">
        <f t="shared" si="27"/>
        <v>16927</v>
      </c>
      <c r="P587">
        <f t="shared" si="28"/>
        <v>18911</v>
      </c>
      <c r="Q587">
        <f t="shared" si="29"/>
        <v>1984</v>
      </c>
    </row>
    <row r="588" spans="1:17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  <c r="O588">
        <f t="shared" si="27"/>
        <v>8436.9500000000007</v>
      </c>
      <c r="P588">
        <f t="shared" si="28"/>
        <v>11104.36</v>
      </c>
      <c r="Q588">
        <f t="shared" si="29"/>
        <v>2667.41</v>
      </c>
    </row>
    <row r="589" spans="1:17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  <c r="O589">
        <f t="shared" si="27"/>
        <v>149076.06</v>
      </c>
      <c r="P589">
        <f t="shared" si="28"/>
        <v>166642.97999999957</v>
      </c>
      <c r="Q589">
        <f t="shared" si="29"/>
        <v>17566.919999999576</v>
      </c>
    </row>
    <row r="590" spans="1:17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  <c r="O590">
        <f t="shared" si="27"/>
        <v>98670.3</v>
      </c>
      <c r="P590">
        <f t="shared" si="28"/>
        <v>105244.2</v>
      </c>
      <c r="Q590">
        <f t="shared" si="29"/>
        <v>6573.8999999999942</v>
      </c>
    </row>
    <row r="591" spans="1:17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  <c r="O591">
        <f t="shared" si="27"/>
        <v>135438.07</v>
      </c>
      <c r="P591">
        <f t="shared" si="28"/>
        <v>145602.35</v>
      </c>
      <c r="Q591">
        <f t="shared" si="29"/>
        <v>10164.279999999999</v>
      </c>
    </row>
    <row r="592" spans="1:17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  <c r="O592">
        <f t="shared" si="27"/>
        <v>44048.549999999996</v>
      </c>
      <c r="P592">
        <f t="shared" si="28"/>
        <v>56871.149999999652</v>
      </c>
      <c r="Q592">
        <f t="shared" si="29"/>
        <v>12822.599999999657</v>
      </c>
    </row>
    <row r="593" spans="1:17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  <c r="O593">
        <f t="shared" si="27"/>
        <v>47838.84</v>
      </c>
      <c r="P593">
        <f t="shared" si="28"/>
        <v>54570.18</v>
      </c>
      <c r="Q593">
        <f t="shared" si="29"/>
        <v>6731.3400000000038</v>
      </c>
    </row>
    <row r="594" spans="1:17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  <c r="O594">
        <f t="shared" si="27"/>
        <v>143618.35</v>
      </c>
      <c r="P594">
        <f t="shared" si="28"/>
        <v>146062.69999999998</v>
      </c>
      <c r="Q594">
        <f t="shared" si="29"/>
        <v>2444.3499999999767</v>
      </c>
    </row>
    <row r="595" spans="1:17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  <c r="O595">
        <f t="shared" si="27"/>
        <v>63022.429999999993</v>
      </c>
      <c r="P595">
        <f t="shared" si="28"/>
        <v>67336.38</v>
      </c>
      <c r="Q595">
        <f t="shared" si="29"/>
        <v>4313.9500000000116</v>
      </c>
    </row>
    <row r="596" spans="1:17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  <c r="O596">
        <f t="shared" si="27"/>
        <v>61206.400000000001</v>
      </c>
      <c r="P596">
        <f t="shared" si="28"/>
        <v>70044.5</v>
      </c>
      <c r="Q596">
        <f t="shared" si="29"/>
        <v>8838.0999999999985</v>
      </c>
    </row>
    <row r="597" spans="1:17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  <c r="O597">
        <f t="shared" si="27"/>
        <v>22415.68</v>
      </c>
      <c r="P597">
        <f t="shared" si="28"/>
        <v>36048.639999999999</v>
      </c>
      <c r="Q597">
        <f t="shared" si="29"/>
        <v>13632.96</v>
      </c>
    </row>
    <row r="598" spans="1:17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  <c r="O598">
        <f t="shared" si="27"/>
        <v>2698.6</v>
      </c>
      <c r="P598">
        <f t="shared" si="28"/>
        <v>3153.38</v>
      </c>
      <c r="Q598">
        <f t="shared" si="29"/>
        <v>454.7800000000002</v>
      </c>
    </row>
    <row r="599" spans="1:17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  <c r="O599">
        <f t="shared" si="27"/>
        <v>29270.2</v>
      </c>
      <c r="P599">
        <f t="shared" si="28"/>
        <v>33872.1</v>
      </c>
      <c r="Q599">
        <f t="shared" si="29"/>
        <v>4601.8999999999978</v>
      </c>
    </row>
    <row r="600" spans="1:17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  <c r="O600">
        <f t="shared" si="27"/>
        <v>7209.86</v>
      </c>
      <c r="P600">
        <f t="shared" si="28"/>
        <v>7661.42</v>
      </c>
      <c r="Q600">
        <f t="shared" si="29"/>
        <v>451.5600000000004</v>
      </c>
    </row>
    <row r="601" spans="1:17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  <c r="O601">
        <f t="shared" si="27"/>
        <v>1331.78</v>
      </c>
      <c r="P601">
        <f t="shared" si="28"/>
        <v>1889.58</v>
      </c>
      <c r="Q601">
        <f t="shared" si="29"/>
        <v>557.79999999999995</v>
      </c>
    </row>
    <row r="602" spans="1:17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  <c r="O602">
        <f t="shared" si="27"/>
        <v>72432.240000000005</v>
      </c>
      <c r="P602">
        <f t="shared" si="28"/>
        <v>82036.56</v>
      </c>
      <c r="Q602">
        <f t="shared" si="29"/>
        <v>9604.3199999999924</v>
      </c>
    </row>
    <row r="603" spans="1:17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  <c r="O603">
        <f t="shared" si="27"/>
        <v>47162.079999999994</v>
      </c>
      <c r="P603">
        <f t="shared" si="28"/>
        <v>52188.979999999829</v>
      </c>
      <c r="Q603">
        <f t="shared" si="29"/>
        <v>5026.8999999998341</v>
      </c>
    </row>
    <row r="604" spans="1:17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  <c r="O604">
        <f t="shared" si="27"/>
        <v>83010.559999999998</v>
      </c>
      <c r="P604">
        <f t="shared" si="28"/>
        <v>98386.880000000005</v>
      </c>
      <c r="Q604">
        <f t="shared" si="29"/>
        <v>15376.320000000007</v>
      </c>
    </row>
    <row r="605" spans="1:17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  <c r="O605">
        <f t="shared" si="27"/>
        <v>55457.760000000002</v>
      </c>
      <c r="P605">
        <f t="shared" si="28"/>
        <v>60794.720000000001</v>
      </c>
      <c r="Q605">
        <f t="shared" si="29"/>
        <v>5336.9599999999991</v>
      </c>
    </row>
    <row r="606" spans="1:17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  <c r="O606">
        <f t="shared" si="27"/>
        <v>67126.080000000002</v>
      </c>
      <c r="P606">
        <f t="shared" si="28"/>
        <v>71384.160000000003</v>
      </c>
      <c r="Q606">
        <f t="shared" si="29"/>
        <v>4258.0800000000017</v>
      </c>
    </row>
    <row r="607" spans="1:17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  <c r="O607">
        <f t="shared" si="27"/>
        <v>75844.800000000003</v>
      </c>
      <c r="P607">
        <f t="shared" si="28"/>
        <v>76836.56</v>
      </c>
      <c r="Q607">
        <f t="shared" si="29"/>
        <v>991.75999999999476</v>
      </c>
    </row>
    <row r="608" spans="1:17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  <c r="O608">
        <f t="shared" si="27"/>
        <v>173573.78999999998</v>
      </c>
      <c r="P608">
        <f t="shared" si="28"/>
        <v>181870.2599999996</v>
      </c>
      <c r="Q608">
        <f t="shared" si="29"/>
        <v>8296.4699999996228</v>
      </c>
    </row>
    <row r="609" spans="1:17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  <c r="O609">
        <f t="shared" si="27"/>
        <v>26199.34</v>
      </c>
      <c r="P609">
        <f t="shared" si="28"/>
        <v>31054.87</v>
      </c>
      <c r="Q609">
        <f t="shared" si="29"/>
        <v>4855.5299999999988</v>
      </c>
    </row>
    <row r="610" spans="1:17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  <c r="O610">
        <f t="shared" si="27"/>
        <v>38978.21</v>
      </c>
      <c r="P610">
        <f t="shared" si="28"/>
        <v>55170.720000000001</v>
      </c>
      <c r="Q610">
        <f t="shared" si="29"/>
        <v>16192.510000000002</v>
      </c>
    </row>
    <row r="611" spans="1:17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  <c r="O611">
        <f t="shared" si="27"/>
        <v>32892.479999999996</v>
      </c>
      <c r="P611">
        <f t="shared" si="28"/>
        <v>35581.919999999998</v>
      </c>
      <c r="Q611">
        <f t="shared" si="29"/>
        <v>2689.4400000000023</v>
      </c>
    </row>
    <row r="612" spans="1:17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  <c r="O612">
        <f t="shared" si="27"/>
        <v>641.67999999999995</v>
      </c>
      <c r="P612">
        <f t="shared" si="28"/>
        <v>752.24</v>
      </c>
      <c r="Q612">
        <f t="shared" si="29"/>
        <v>110.56000000000006</v>
      </c>
    </row>
    <row r="613" spans="1:17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  <c r="O613">
        <f t="shared" si="27"/>
        <v>13090.88</v>
      </c>
      <c r="P613">
        <f t="shared" si="28"/>
        <v>14222.339999999891</v>
      </c>
      <c r="Q613">
        <f t="shared" si="29"/>
        <v>1131.4599999998918</v>
      </c>
    </row>
    <row r="614" spans="1:17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  <c r="O614">
        <f t="shared" si="27"/>
        <v>12111.54</v>
      </c>
      <c r="P614">
        <f t="shared" si="28"/>
        <v>13614.09</v>
      </c>
      <c r="Q614">
        <f t="shared" si="29"/>
        <v>1502.5499999999993</v>
      </c>
    </row>
    <row r="615" spans="1:17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  <c r="O615">
        <f t="shared" si="27"/>
        <v>16470.68</v>
      </c>
      <c r="P615">
        <f t="shared" si="28"/>
        <v>17120.240000000002</v>
      </c>
      <c r="Q615">
        <f t="shared" si="29"/>
        <v>649.56000000000131</v>
      </c>
    </row>
    <row r="616" spans="1:17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  <c r="O616">
        <f t="shared" si="27"/>
        <v>5165.3</v>
      </c>
      <c r="P616">
        <f t="shared" si="28"/>
        <v>8274</v>
      </c>
      <c r="Q616">
        <f t="shared" si="29"/>
        <v>3108.7</v>
      </c>
    </row>
    <row r="617" spans="1:17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  <c r="O617">
        <f t="shared" si="27"/>
        <v>97477.119999999995</v>
      </c>
      <c r="P617">
        <f t="shared" si="28"/>
        <v>107609.58</v>
      </c>
      <c r="Q617">
        <f t="shared" si="29"/>
        <v>10132.460000000006</v>
      </c>
    </row>
    <row r="618" spans="1:17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  <c r="O618">
        <f t="shared" si="27"/>
        <v>13496.990000000002</v>
      </c>
      <c r="P618">
        <f t="shared" si="28"/>
        <v>30899.680000000004</v>
      </c>
      <c r="Q618">
        <f t="shared" si="29"/>
        <v>17402.690000000002</v>
      </c>
    </row>
    <row r="619" spans="1:17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  <c r="O619">
        <f t="shared" si="27"/>
        <v>56942.16</v>
      </c>
      <c r="P619">
        <f t="shared" si="28"/>
        <v>61750.559999999998</v>
      </c>
      <c r="Q619">
        <f t="shared" si="29"/>
        <v>4808.3999999999942</v>
      </c>
    </row>
    <row r="620" spans="1:17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  <c r="O620">
        <f t="shared" si="27"/>
        <v>110677.43999999999</v>
      </c>
      <c r="P620">
        <f t="shared" si="28"/>
        <v>115079.75</v>
      </c>
      <c r="Q620">
        <f t="shared" si="29"/>
        <v>4402.3100000000122</v>
      </c>
    </row>
    <row r="621" spans="1:17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  <c r="O621">
        <f t="shared" si="27"/>
        <v>1421.88</v>
      </c>
      <c r="P621">
        <f t="shared" si="28"/>
        <v>8984.33</v>
      </c>
      <c r="Q621">
        <f t="shared" si="29"/>
        <v>7562.45</v>
      </c>
    </row>
    <row r="622" spans="1:17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  <c r="O622">
        <f t="shared" si="27"/>
        <v>126425.97</v>
      </c>
      <c r="P622">
        <f t="shared" si="28"/>
        <v>128976.20999999999</v>
      </c>
      <c r="Q622">
        <f t="shared" si="29"/>
        <v>2550.2399999999907</v>
      </c>
    </row>
    <row r="623" spans="1:17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  <c r="O623">
        <f t="shared" si="27"/>
        <v>28541.81</v>
      </c>
      <c r="P623">
        <f t="shared" si="28"/>
        <v>30464.720000000001</v>
      </c>
      <c r="Q623">
        <f t="shared" si="29"/>
        <v>1922.9099999999999</v>
      </c>
    </row>
    <row r="624" spans="1:17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  <c r="O624">
        <f t="shared" si="27"/>
        <v>109420.08</v>
      </c>
      <c r="P624">
        <f t="shared" si="28"/>
        <v>117750.36</v>
      </c>
      <c r="Q624">
        <f t="shared" si="29"/>
        <v>8330.2799999999988</v>
      </c>
    </row>
    <row r="625" spans="1:17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  <c r="O625">
        <f t="shared" si="27"/>
        <v>84363.520000000004</v>
      </c>
      <c r="P625">
        <f t="shared" si="28"/>
        <v>86296.960000000006</v>
      </c>
      <c r="Q625">
        <f t="shared" si="29"/>
        <v>1933.4400000000023</v>
      </c>
    </row>
    <row r="626" spans="1:17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  <c r="O626">
        <f t="shared" si="27"/>
        <v>3223.07</v>
      </c>
      <c r="P626">
        <f t="shared" si="28"/>
        <v>3590.83</v>
      </c>
      <c r="Q626">
        <f t="shared" si="29"/>
        <v>367.75999999999976</v>
      </c>
    </row>
    <row r="627" spans="1:17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  <c r="O627">
        <f t="shared" si="27"/>
        <v>185289.98</v>
      </c>
      <c r="P627">
        <f t="shared" si="28"/>
        <v>194678.23</v>
      </c>
      <c r="Q627">
        <f t="shared" si="29"/>
        <v>9388.25</v>
      </c>
    </row>
    <row r="628" spans="1:17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  <c r="O628">
        <f t="shared" si="27"/>
        <v>57547.840000000004</v>
      </c>
      <c r="P628">
        <f t="shared" si="28"/>
        <v>68589.919999999998</v>
      </c>
      <c r="Q628">
        <f t="shared" si="29"/>
        <v>11042.079999999994</v>
      </c>
    </row>
    <row r="629" spans="1:17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  <c r="O629">
        <f t="shared" si="27"/>
        <v>2663.22</v>
      </c>
      <c r="P629">
        <f t="shared" si="28"/>
        <v>13227.06</v>
      </c>
      <c r="Q629">
        <f t="shared" si="29"/>
        <v>10563.84</v>
      </c>
    </row>
    <row r="630" spans="1:17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  <c r="O630">
        <f t="shared" si="27"/>
        <v>29800.68</v>
      </c>
      <c r="P630">
        <f t="shared" si="28"/>
        <v>30491.09</v>
      </c>
      <c r="Q630">
        <f t="shared" si="29"/>
        <v>690.40999999999985</v>
      </c>
    </row>
    <row r="631" spans="1:17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  <c r="O631">
        <f t="shared" si="27"/>
        <v>3870.82</v>
      </c>
      <c r="P631">
        <f t="shared" si="28"/>
        <v>4610.88</v>
      </c>
      <c r="Q631">
        <f t="shared" si="29"/>
        <v>740.06</v>
      </c>
    </row>
    <row r="632" spans="1:17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  <c r="O632">
        <f t="shared" si="27"/>
        <v>105227.22</v>
      </c>
      <c r="P632">
        <f t="shared" si="28"/>
        <v>110836.32</v>
      </c>
      <c r="Q632">
        <f t="shared" si="29"/>
        <v>5609.1000000000058</v>
      </c>
    </row>
    <row r="633" spans="1:17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  <c r="O633">
        <f t="shared" si="27"/>
        <v>2122.56</v>
      </c>
      <c r="P633">
        <f t="shared" si="28"/>
        <v>8134.5599999999995</v>
      </c>
      <c r="Q633">
        <f t="shared" si="29"/>
        <v>6012</v>
      </c>
    </row>
    <row r="634" spans="1:17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  <c r="O634">
        <f t="shared" si="27"/>
        <v>9943.44</v>
      </c>
      <c r="P634">
        <f t="shared" si="28"/>
        <v>10131.48</v>
      </c>
      <c r="Q634">
        <f t="shared" si="29"/>
        <v>188.03999999999905</v>
      </c>
    </row>
    <row r="635" spans="1:17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  <c r="O635">
        <f t="shared" si="27"/>
        <v>217056.84</v>
      </c>
      <c r="P635">
        <f t="shared" si="28"/>
        <v>230817.84</v>
      </c>
      <c r="Q635">
        <f t="shared" si="29"/>
        <v>13761</v>
      </c>
    </row>
    <row r="636" spans="1:17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  <c r="O636">
        <f t="shared" si="27"/>
        <v>27120.980000000003</v>
      </c>
      <c r="P636">
        <f t="shared" si="28"/>
        <v>33510.11</v>
      </c>
      <c r="Q636">
        <f t="shared" si="29"/>
        <v>6389.1299999999974</v>
      </c>
    </row>
    <row r="637" spans="1:17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  <c r="O637">
        <f t="shared" si="27"/>
        <v>52190.32</v>
      </c>
      <c r="P637">
        <f t="shared" si="28"/>
        <v>57274.619999999995</v>
      </c>
      <c r="Q637">
        <f t="shared" si="29"/>
        <v>5084.2999999999956</v>
      </c>
    </row>
    <row r="638" spans="1:17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  <c r="O638">
        <f t="shared" si="27"/>
        <v>37967.490000000005</v>
      </c>
      <c r="P638">
        <f t="shared" si="28"/>
        <v>43221.86</v>
      </c>
      <c r="Q638">
        <f t="shared" si="29"/>
        <v>5254.3699999999953</v>
      </c>
    </row>
    <row r="639" spans="1:17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  <c r="O639">
        <f t="shared" si="27"/>
        <v>163329.20000000001</v>
      </c>
      <c r="P639">
        <f t="shared" si="28"/>
        <v>180862.8</v>
      </c>
      <c r="Q639">
        <f t="shared" si="29"/>
        <v>17533.599999999977</v>
      </c>
    </row>
    <row r="640" spans="1:17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  <c r="O640">
        <f t="shared" si="27"/>
        <v>90991.87000000001</v>
      </c>
      <c r="P640">
        <f t="shared" si="28"/>
        <v>106338.14</v>
      </c>
      <c r="Q640">
        <f t="shared" si="29"/>
        <v>15346.26999999999</v>
      </c>
    </row>
    <row r="641" spans="1:17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  <c r="O641">
        <f t="shared" si="27"/>
        <v>17411.46</v>
      </c>
      <c r="P641">
        <f t="shared" si="28"/>
        <v>21368.05</v>
      </c>
      <c r="Q641">
        <f t="shared" si="29"/>
        <v>3956.59</v>
      </c>
    </row>
    <row r="642" spans="1:17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  <c r="O642">
        <f t="shared" si="27"/>
        <v>211150.8</v>
      </c>
      <c r="P642">
        <f t="shared" si="28"/>
        <v>217166.4</v>
      </c>
      <c r="Q642">
        <f t="shared" si="29"/>
        <v>6015.6000000000058</v>
      </c>
    </row>
    <row r="643" spans="1:17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  <c r="O643">
        <f t="shared" ref="O643:O706" si="30">H643*F643</f>
        <v>10205.61</v>
      </c>
      <c r="P643">
        <f t="shared" ref="P643:P706" si="31">I643*F643</f>
        <v>11201.130000000001</v>
      </c>
      <c r="Q643">
        <f t="shared" ref="Q643:Q706" si="32">P643-O643</f>
        <v>995.52000000000044</v>
      </c>
    </row>
    <row r="644" spans="1:17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  <c r="O644">
        <f t="shared" si="30"/>
        <v>7669.92</v>
      </c>
      <c r="P644">
        <f t="shared" si="31"/>
        <v>8955.36</v>
      </c>
      <c r="Q644">
        <f t="shared" si="32"/>
        <v>1285.4400000000005</v>
      </c>
    </row>
    <row r="645" spans="1:17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  <c r="O645">
        <f t="shared" si="30"/>
        <v>1173.57</v>
      </c>
      <c r="P645">
        <f t="shared" si="31"/>
        <v>1415.25</v>
      </c>
      <c r="Q645">
        <f t="shared" si="32"/>
        <v>241.68000000000006</v>
      </c>
    </row>
    <row r="646" spans="1:17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  <c r="O646">
        <f t="shared" si="30"/>
        <v>102629.94</v>
      </c>
      <c r="P646">
        <f t="shared" si="31"/>
        <v>123619.02</v>
      </c>
      <c r="Q646">
        <f t="shared" si="32"/>
        <v>20989.08</v>
      </c>
    </row>
    <row r="647" spans="1:17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  <c r="O647">
        <f t="shared" si="30"/>
        <v>30765.15</v>
      </c>
      <c r="P647">
        <f t="shared" si="31"/>
        <v>39269.07</v>
      </c>
      <c r="Q647">
        <f t="shared" si="32"/>
        <v>8503.9199999999983</v>
      </c>
    </row>
    <row r="648" spans="1:17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  <c r="O648">
        <f t="shared" si="30"/>
        <v>64053.78</v>
      </c>
      <c r="P648">
        <f t="shared" si="31"/>
        <v>74891.600000000006</v>
      </c>
      <c r="Q648">
        <f t="shared" si="32"/>
        <v>10837.820000000007</v>
      </c>
    </row>
    <row r="649" spans="1:17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  <c r="O649">
        <f t="shared" si="30"/>
        <v>8789.16</v>
      </c>
      <c r="P649">
        <f t="shared" si="31"/>
        <v>9091.56</v>
      </c>
      <c r="Q649">
        <f t="shared" si="32"/>
        <v>302.39999999999964</v>
      </c>
    </row>
    <row r="650" spans="1:17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  <c r="O650">
        <f t="shared" si="30"/>
        <v>24174.15</v>
      </c>
      <c r="P650">
        <f t="shared" si="31"/>
        <v>39164.229999999996</v>
      </c>
      <c r="Q650">
        <f t="shared" si="32"/>
        <v>14990.079999999994</v>
      </c>
    </row>
    <row r="651" spans="1:17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  <c r="O651">
        <f t="shared" si="30"/>
        <v>57456.800000000003</v>
      </c>
      <c r="P651">
        <f t="shared" si="31"/>
        <v>58005.599999999999</v>
      </c>
      <c r="Q651">
        <f t="shared" si="32"/>
        <v>548.79999999999563</v>
      </c>
    </row>
    <row r="652" spans="1:17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  <c r="O652">
        <f t="shared" si="30"/>
        <v>2784.3</v>
      </c>
      <c r="P652">
        <f t="shared" si="31"/>
        <v>2897.08</v>
      </c>
      <c r="Q652">
        <f t="shared" si="32"/>
        <v>112.77999999999975</v>
      </c>
    </row>
    <row r="653" spans="1:17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  <c r="O653">
        <f t="shared" si="30"/>
        <v>114408.59999999999</v>
      </c>
      <c r="P653">
        <f t="shared" si="31"/>
        <v>115191.59999999999</v>
      </c>
      <c r="Q653">
        <f t="shared" si="32"/>
        <v>783</v>
      </c>
    </row>
    <row r="654" spans="1:17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  <c r="O654">
        <f t="shared" si="30"/>
        <v>72518.8</v>
      </c>
      <c r="P654">
        <f t="shared" si="31"/>
        <v>77610.600000000006</v>
      </c>
      <c r="Q654">
        <f t="shared" si="32"/>
        <v>5091.8000000000029</v>
      </c>
    </row>
    <row r="655" spans="1:17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  <c r="O655">
        <f t="shared" si="30"/>
        <v>3290.42</v>
      </c>
      <c r="P655">
        <f t="shared" si="31"/>
        <v>14853.82</v>
      </c>
      <c r="Q655">
        <f t="shared" si="32"/>
        <v>11563.4</v>
      </c>
    </row>
    <row r="656" spans="1:17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  <c r="O656">
        <f t="shared" si="30"/>
        <v>71966.159999999989</v>
      </c>
      <c r="P656">
        <f t="shared" si="31"/>
        <v>73103.519999999728</v>
      </c>
      <c r="Q656">
        <f t="shared" si="32"/>
        <v>1137.3599999997386</v>
      </c>
    </row>
    <row r="657" spans="1:17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  <c r="O657">
        <f t="shared" si="30"/>
        <v>18490.75</v>
      </c>
      <c r="P657">
        <f t="shared" si="31"/>
        <v>27575.75</v>
      </c>
      <c r="Q657">
        <f t="shared" si="32"/>
        <v>9085</v>
      </c>
    </row>
    <row r="658" spans="1:17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  <c r="O658">
        <f t="shared" si="30"/>
        <v>138810.23999999999</v>
      </c>
      <c r="P658">
        <f t="shared" si="31"/>
        <v>142742.72</v>
      </c>
      <c r="Q658">
        <f t="shared" si="32"/>
        <v>3932.4800000000105</v>
      </c>
    </row>
    <row r="659" spans="1:17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  <c r="O659">
        <f t="shared" si="30"/>
        <v>43643.5</v>
      </c>
      <c r="P659">
        <f t="shared" si="31"/>
        <v>47101</v>
      </c>
      <c r="Q659">
        <f t="shared" si="32"/>
        <v>3457.5</v>
      </c>
    </row>
    <row r="660" spans="1:17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  <c r="O660">
        <f t="shared" si="30"/>
        <v>89074.02</v>
      </c>
      <c r="P660">
        <f t="shared" si="31"/>
        <v>109701.48</v>
      </c>
      <c r="Q660">
        <f t="shared" si="32"/>
        <v>20627.459999999992</v>
      </c>
    </row>
    <row r="661" spans="1:17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  <c r="O661">
        <f t="shared" si="30"/>
        <v>89990.400000000009</v>
      </c>
      <c r="P661">
        <f t="shared" si="31"/>
        <v>103936</v>
      </c>
      <c r="Q661">
        <f t="shared" si="32"/>
        <v>13945.599999999991</v>
      </c>
    </row>
    <row r="662" spans="1:17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  <c r="O662">
        <f t="shared" si="30"/>
        <v>51191.25</v>
      </c>
      <c r="P662">
        <f t="shared" si="31"/>
        <v>65802.33</v>
      </c>
      <c r="Q662">
        <f t="shared" si="32"/>
        <v>14611.080000000002</v>
      </c>
    </row>
    <row r="663" spans="1:17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  <c r="O663">
        <f t="shared" si="30"/>
        <v>46763.6</v>
      </c>
      <c r="P663">
        <f t="shared" si="31"/>
        <v>52933.659999999873</v>
      </c>
      <c r="Q663">
        <f t="shared" si="32"/>
        <v>6170.059999999874</v>
      </c>
    </row>
    <row r="664" spans="1:17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  <c r="O664">
        <f t="shared" si="30"/>
        <v>74840.17</v>
      </c>
      <c r="P664">
        <f t="shared" si="31"/>
        <v>85029.08</v>
      </c>
      <c r="Q664">
        <f t="shared" si="32"/>
        <v>10188.910000000003</v>
      </c>
    </row>
    <row r="665" spans="1:17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  <c r="O665">
        <f t="shared" si="30"/>
        <v>57773.939999999995</v>
      </c>
      <c r="P665">
        <f t="shared" si="31"/>
        <v>72647.820000000007</v>
      </c>
      <c r="Q665">
        <f t="shared" si="32"/>
        <v>14873.880000000012</v>
      </c>
    </row>
    <row r="666" spans="1:17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  <c r="O666">
        <f t="shared" si="30"/>
        <v>102908.38</v>
      </c>
      <c r="P666">
        <f t="shared" si="31"/>
        <v>122999</v>
      </c>
      <c r="Q666">
        <f t="shared" si="32"/>
        <v>20090.619999999995</v>
      </c>
    </row>
    <row r="667" spans="1:17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  <c r="O667">
        <f t="shared" si="30"/>
        <v>18605.82</v>
      </c>
      <c r="P667">
        <f t="shared" si="31"/>
        <v>25441.200000000001</v>
      </c>
      <c r="Q667">
        <f t="shared" si="32"/>
        <v>6835.380000000001</v>
      </c>
    </row>
    <row r="668" spans="1:17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  <c r="O668">
        <f t="shared" si="30"/>
        <v>59931.040000000001</v>
      </c>
      <c r="P668">
        <f t="shared" si="31"/>
        <v>62140.32</v>
      </c>
      <c r="Q668">
        <f t="shared" si="32"/>
        <v>2209.2799999999988</v>
      </c>
    </row>
    <row r="669" spans="1:17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  <c r="O669">
        <f t="shared" si="30"/>
        <v>5055.75</v>
      </c>
      <c r="P669">
        <f t="shared" si="31"/>
        <v>26378.1</v>
      </c>
      <c r="Q669">
        <f t="shared" si="32"/>
        <v>21322.35</v>
      </c>
    </row>
    <row r="670" spans="1:17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  <c r="O670">
        <f t="shared" si="30"/>
        <v>71284.399999999994</v>
      </c>
      <c r="P670">
        <f t="shared" si="31"/>
        <v>79333.979999999778</v>
      </c>
      <c r="Q670">
        <f t="shared" si="32"/>
        <v>8049.5799999997835</v>
      </c>
    </row>
    <row r="671" spans="1:17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  <c r="O671">
        <f t="shared" si="30"/>
        <v>19103.599999999999</v>
      </c>
      <c r="P671">
        <f t="shared" si="31"/>
        <v>21456.399999999998</v>
      </c>
      <c r="Q671">
        <f t="shared" si="32"/>
        <v>2352.7999999999993</v>
      </c>
    </row>
    <row r="672" spans="1:17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  <c r="O672">
        <f t="shared" si="30"/>
        <v>51617.200000000004</v>
      </c>
      <c r="P672">
        <f t="shared" si="31"/>
        <v>61509.35</v>
      </c>
      <c r="Q672">
        <f t="shared" si="32"/>
        <v>9892.1499999999942</v>
      </c>
    </row>
    <row r="673" spans="1:17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  <c r="O673">
        <f t="shared" si="30"/>
        <v>86302.260000000009</v>
      </c>
      <c r="P673">
        <f t="shared" si="31"/>
        <v>97109.28</v>
      </c>
      <c r="Q673">
        <f t="shared" si="32"/>
        <v>10807.01999999999</v>
      </c>
    </row>
    <row r="674" spans="1:17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  <c r="O674">
        <f t="shared" si="30"/>
        <v>203567.87</v>
      </c>
      <c r="P674">
        <f t="shared" si="31"/>
        <v>214968.33000000002</v>
      </c>
      <c r="Q674">
        <f t="shared" si="32"/>
        <v>11400.460000000021</v>
      </c>
    </row>
    <row r="675" spans="1:17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  <c r="O675">
        <f t="shared" si="30"/>
        <v>62395.199999999997</v>
      </c>
      <c r="P675">
        <f t="shared" si="31"/>
        <v>67650.880000000005</v>
      </c>
      <c r="Q675">
        <f t="shared" si="32"/>
        <v>5255.6800000000076</v>
      </c>
    </row>
    <row r="676" spans="1:17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  <c r="O676">
        <f t="shared" si="30"/>
        <v>39708.94</v>
      </c>
      <c r="P676">
        <f t="shared" si="31"/>
        <v>52606.84</v>
      </c>
      <c r="Q676">
        <f t="shared" si="32"/>
        <v>12897.899999999994</v>
      </c>
    </row>
    <row r="677" spans="1:17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  <c r="O677">
        <f t="shared" si="30"/>
        <v>29482.240000000002</v>
      </c>
      <c r="P677">
        <f t="shared" si="31"/>
        <v>39555.199999999997</v>
      </c>
      <c r="Q677">
        <f t="shared" si="32"/>
        <v>10072.959999999995</v>
      </c>
    </row>
    <row r="678" spans="1:17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  <c r="O678">
        <f t="shared" si="30"/>
        <v>112784.1</v>
      </c>
      <c r="P678">
        <f t="shared" si="31"/>
        <v>119924.73999999999</v>
      </c>
      <c r="Q678">
        <f t="shared" si="32"/>
        <v>7140.6399999999849</v>
      </c>
    </row>
    <row r="679" spans="1:17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  <c r="O679">
        <f t="shared" si="30"/>
        <v>56217.75</v>
      </c>
      <c r="P679">
        <f t="shared" si="31"/>
        <v>65650.5</v>
      </c>
      <c r="Q679">
        <f t="shared" si="32"/>
        <v>9432.75</v>
      </c>
    </row>
    <row r="680" spans="1:17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  <c r="O680">
        <f t="shared" si="30"/>
        <v>1456.82</v>
      </c>
      <c r="P680">
        <f t="shared" si="31"/>
        <v>2189.84</v>
      </c>
      <c r="Q680">
        <f t="shared" si="32"/>
        <v>733.02000000000021</v>
      </c>
    </row>
    <row r="681" spans="1:17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  <c r="O681">
        <f t="shared" si="30"/>
        <v>51815.399999999994</v>
      </c>
      <c r="P681">
        <f t="shared" si="31"/>
        <v>55639.08</v>
      </c>
      <c r="Q681">
        <f t="shared" si="32"/>
        <v>3823.6800000000076</v>
      </c>
    </row>
    <row r="682" spans="1:17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  <c r="O682">
        <f t="shared" si="30"/>
        <v>163586.4</v>
      </c>
      <c r="P682">
        <f t="shared" si="31"/>
        <v>171038.4</v>
      </c>
      <c r="Q682">
        <f t="shared" si="32"/>
        <v>7452</v>
      </c>
    </row>
    <row r="683" spans="1:17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  <c r="O683">
        <f t="shared" si="30"/>
        <v>44283.06</v>
      </c>
      <c r="P683">
        <f t="shared" si="31"/>
        <v>46162.71</v>
      </c>
      <c r="Q683">
        <f t="shared" si="32"/>
        <v>1879.6500000000015</v>
      </c>
    </row>
    <row r="684" spans="1:17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  <c r="O684">
        <f t="shared" si="30"/>
        <v>54638.759999999995</v>
      </c>
      <c r="P684">
        <f t="shared" si="31"/>
        <v>60464.88</v>
      </c>
      <c r="Q684">
        <f t="shared" si="32"/>
        <v>5826.1200000000026</v>
      </c>
    </row>
    <row r="685" spans="1:17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  <c r="O685">
        <f t="shared" si="30"/>
        <v>110925.35999999999</v>
      </c>
      <c r="P685">
        <f t="shared" si="31"/>
        <v>112617.17999999975</v>
      </c>
      <c r="Q685">
        <f t="shared" si="32"/>
        <v>1691.8199999997596</v>
      </c>
    </row>
    <row r="686" spans="1:17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  <c r="O686">
        <f t="shared" si="30"/>
        <v>2792.16</v>
      </c>
      <c r="P686">
        <f t="shared" si="31"/>
        <v>4066.29</v>
      </c>
      <c r="Q686">
        <f t="shared" si="32"/>
        <v>1274.1300000000001</v>
      </c>
    </row>
    <row r="687" spans="1:17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  <c r="O687">
        <f t="shared" si="30"/>
        <v>5668.6</v>
      </c>
      <c r="P687">
        <f t="shared" si="31"/>
        <v>8181.4</v>
      </c>
      <c r="Q687">
        <f t="shared" si="32"/>
        <v>2512.7999999999993</v>
      </c>
    </row>
    <row r="688" spans="1:17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  <c r="O688">
        <f t="shared" si="30"/>
        <v>91727.039999999994</v>
      </c>
      <c r="P688">
        <f t="shared" si="31"/>
        <v>105167.03999999999</v>
      </c>
      <c r="Q688">
        <f t="shared" si="32"/>
        <v>13440</v>
      </c>
    </row>
    <row r="689" spans="1:17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  <c r="O689">
        <f t="shared" si="30"/>
        <v>91147.88</v>
      </c>
      <c r="P689">
        <f t="shared" si="31"/>
        <v>94214.68</v>
      </c>
      <c r="Q689">
        <f t="shared" si="32"/>
        <v>3066.7999999999884</v>
      </c>
    </row>
    <row r="690" spans="1:17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  <c r="O690">
        <f t="shared" si="30"/>
        <v>111212.16</v>
      </c>
      <c r="P690">
        <f t="shared" si="31"/>
        <v>118206.24</v>
      </c>
      <c r="Q690">
        <f t="shared" si="32"/>
        <v>6994.0800000000017</v>
      </c>
    </row>
    <row r="691" spans="1:17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  <c r="O691">
        <f t="shared" si="30"/>
        <v>40282.199999999997</v>
      </c>
      <c r="P691">
        <f t="shared" si="31"/>
        <v>41127</v>
      </c>
      <c r="Q691">
        <f t="shared" si="32"/>
        <v>844.80000000000291</v>
      </c>
    </row>
    <row r="692" spans="1:17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  <c r="O692">
        <f t="shared" si="30"/>
        <v>85195.109999999986</v>
      </c>
      <c r="P692">
        <f t="shared" si="31"/>
        <v>99076.379999999612</v>
      </c>
      <c r="Q692">
        <f t="shared" si="32"/>
        <v>13881.269999999626</v>
      </c>
    </row>
    <row r="693" spans="1:17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  <c r="O693">
        <f t="shared" si="30"/>
        <v>5736.04</v>
      </c>
      <c r="P693">
        <f t="shared" si="31"/>
        <v>5989.48</v>
      </c>
      <c r="Q693">
        <f t="shared" si="32"/>
        <v>253.4399999999996</v>
      </c>
    </row>
    <row r="694" spans="1:17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  <c r="O694">
        <f t="shared" si="30"/>
        <v>60.28</v>
      </c>
      <c r="P694">
        <f t="shared" si="31"/>
        <v>260.73</v>
      </c>
      <c r="Q694">
        <f t="shared" si="32"/>
        <v>200.45000000000002</v>
      </c>
    </row>
    <row r="695" spans="1:17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  <c r="O695">
        <f t="shared" si="30"/>
        <v>48258.36</v>
      </c>
      <c r="P695">
        <f t="shared" si="31"/>
        <v>56445.120000000003</v>
      </c>
      <c r="Q695">
        <f t="shared" si="32"/>
        <v>8186.760000000002</v>
      </c>
    </row>
    <row r="696" spans="1:17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  <c r="O696">
        <f t="shared" si="30"/>
        <v>62771.520000000004</v>
      </c>
      <c r="P696">
        <f t="shared" si="31"/>
        <v>73493.279999999999</v>
      </c>
      <c r="Q696">
        <f t="shared" si="32"/>
        <v>10721.759999999995</v>
      </c>
    </row>
    <row r="697" spans="1:17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  <c r="O697">
        <f t="shared" si="30"/>
        <v>97874.189999999988</v>
      </c>
      <c r="P697">
        <f t="shared" si="31"/>
        <v>103586.04</v>
      </c>
      <c r="Q697">
        <f t="shared" si="32"/>
        <v>5711.8500000000058</v>
      </c>
    </row>
    <row r="698" spans="1:17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  <c r="O698">
        <f t="shared" si="30"/>
        <v>1824.16</v>
      </c>
      <c r="P698">
        <f t="shared" si="31"/>
        <v>1986.48</v>
      </c>
      <c r="Q698">
        <f t="shared" si="32"/>
        <v>162.31999999999994</v>
      </c>
    </row>
    <row r="699" spans="1:17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  <c r="O699">
        <f t="shared" si="30"/>
        <v>85468.86</v>
      </c>
      <c r="P699">
        <f t="shared" si="31"/>
        <v>93743.069999999992</v>
      </c>
      <c r="Q699">
        <f t="shared" si="32"/>
        <v>8274.2099999999919</v>
      </c>
    </row>
    <row r="700" spans="1:17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  <c r="O700">
        <f t="shared" si="30"/>
        <v>50212.119999999995</v>
      </c>
      <c r="P700">
        <f t="shared" si="31"/>
        <v>56958.02</v>
      </c>
      <c r="Q700">
        <f t="shared" si="32"/>
        <v>6745.9000000000015</v>
      </c>
    </row>
    <row r="701" spans="1:17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  <c r="O701">
        <f t="shared" si="30"/>
        <v>4501.82</v>
      </c>
      <c r="P701">
        <f t="shared" si="31"/>
        <v>5117.3599999999997</v>
      </c>
      <c r="Q701">
        <f t="shared" si="32"/>
        <v>615.54</v>
      </c>
    </row>
    <row r="702" spans="1:17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  <c r="O702">
        <f t="shared" si="30"/>
        <v>5337.4500000000007</v>
      </c>
      <c r="P702">
        <f t="shared" si="31"/>
        <v>19601.39</v>
      </c>
      <c r="Q702">
        <f t="shared" si="32"/>
        <v>14263.939999999999</v>
      </c>
    </row>
    <row r="703" spans="1:17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  <c r="O703">
        <f t="shared" si="30"/>
        <v>34108.200000000004</v>
      </c>
      <c r="P703">
        <f t="shared" si="31"/>
        <v>40440.300000000003</v>
      </c>
      <c r="Q703">
        <f t="shared" si="32"/>
        <v>6332.0999999999985</v>
      </c>
    </row>
    <row r="704" spans="1:17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  <c r="O704">
        <f t="shared" si="30"/>
        <v>18208.800000000003</v>
      </c>
      <c r="P704">
        <f t="shared" si="31"/>
        <v>18540.239999999998</v>
      </c>
      <c r="Q704">
        <f t="shared" si="32"/>
        <v>331.43999999999505</v>
      </c>
    </row>
    <row r="705" spans="1:17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  <c r="O705">
        <f t="shared" si="30"/>
        <v>172115.49000000002</v>
      </c>
      <c r="P705">
        <f t="shared" si="31"/>
        <v>184422.43000000002</v>
      </c>
      <c r="Q705">
        <f t="shared" si="32"/>
        <v>12306.940000000002</v>
      </c>
    </row>
    <row r="706" spans="1:17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  <c r="O706">
        <f t="shared" si="30"/>
        <v>18671.52</v>
      </c>
      <c r="P706">
        <f t="shared" si="31"/>
        <v>22886.080000000002</v>
      </c>
      <c r="Q706">
        <f t="shared" si="32"/>
        <v>4214.5600000000013</v>
      </c>
    </row>
    <row r="707" spans="1:17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  <c r="O707">
        <f t="shared" ref="O707:O770" si="33">H707*F707</f>
        <v>65595.200000000012</v>
      </c>
      <c r="P707">
        <f t="shared" ref="P707:P770" si="34">I707*F707</f>
        <v>71279.399999999994</v>
      </c>
      <c r="Q707">
        <f t="shared" ref="Q707:Q770" si="35">P707-O707</f>
        <v>5684.1999999999825</v>
      </c>
    </row>
    <row r="708" spans="1:17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  <c r="O708">
        <f t="shared" si="33"/>
        <v>12127.439999999999</v>
      </c>
      <c r="P708">
        <f t="shared" si="34"/>
        <v>17855.759999999998</v>
      </c>
      <c r="Q708">
        <f t="shared" si="35"/>
        <v>5728.32</v>
      </c>
    </row>
    <row r="709" spans="1:17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  <c r="O709">
        <f t="shared" si="33"/>
        <v>54204.959999999999</v>
      </c>
      <c r="P709">
        <f t="shared" si="34"/>
        <v>58547.759999999995</v>
      </c>
      <c r="Q709">
        <f t="shared" si="35"/>
        <v>4342.7999999999956</v>
      </c>
    </row>
    <row r="710" spans="1:17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  <c r="O710">
        <f t="shared" si="33"/>
        <v>58636.2</v>
      </c>
      <c r="P710">
        <f t="shared" si="34"/>
        <v>68345.549999999799</v>
      </c>
      <c r="Q710">
        <f t="shared" si="35"/>
        <v>9709.3499999998021</v>
      </c>
    </row>
    <row r="711" spans="1:17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  <c r="O711">
        <f t="shared" si="33"/>
        <v>15248.800000000001</v>
      </c>
      <c r="P711">
        <f t="shared" si="34"/>
        <v>16361.400000000001</v>
      </c>
      <c r="Q711">
        <f t="shared" si="35"/>
        <v>1112.6000000000004</v>
      </c>
    </row>
    <row r="712" spans="1:17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  <c r="O712">
        <f t="shared" si="33"/>
        <v>105920.51999999999</v>
      </c>
      <c r="P712">
        <f t="shared" si="34"/>
        <v>126082.78</v>
      </c>
      <c r="Q712">
        <f t="shared" si="35"/>
        <v>20162.260000000009</v>
      </c>
    </row>
    <row r="713" spans="1:17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  <c r="O713">
        <f t="shared" si="33"/>
        <v>12034.26</v>
      </c>
      <c r="P713">
        <f t="shared" si="34"/>
        <v>12383.14</v>
      </c>
      <c r="Q713">
        <f t="shared" si="35"/>
        <v>348.8799999999992</v>
      </c>
    </row>
    <row r="714" spans="1:17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  <c r="O714">
        <f t="shared" si="33"/>
        <v>57550.170000000006</v>
      </c>
      <c r="P714">
        <f t="shared" si="34"/>
        <v>59567.78</v>
      </c>
      <c r="Q714">
        <f t="shared" si="35"/>
        <v>2017.6099999999933</v>
      </c>
    </row>
    <row r="715" spans="1:17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  <c r="O715">
        <f t="shared" si="33"/>
        <v>56240.639999999999</v>
      </c>
      <c r="P715">
        <f t="shared" si="34"/>
        <v>63958.86</v>
      </c>
      <c r="Q715">
        <f t="shared" si="35"/>
        <v>7718.2200000000012</v>
      </c>
    </row>
    <row r="716" spans="1:17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  <c r="O716">
        <f t="shared" si="33"/>
        <v>37053.840000000004</v>
      </c>
      <c r="P716">
        <f t="shared" si="34"/>
        <v>44709.120000000003</v>
      </c>
      <c r="Q716">
        <f t="shared" si="35"/>
        <v>7655.2799999999988</v>
      </c>
    </row>
    <row r="717" spans="1:17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  <c r="O717">
        <f t="shared" si="33"/>
        <v>63052.219999999994</v>
      </c>
      <c r="P717">
        <f t="shared" si="34"/>
        <v>68318.319999999861</v>
      </c>
      <c r="Q717">
        <f t="shared" si="35"/>
        <v>5266.0999999998676</v>
      </c>
    </row>
    <row r="718" spans="1:17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  <c r="O718">
        <f t="shared" si="33"/>
        <v>107460.74</v>
      </c>
      <c r="P718">
        <f t="shared" si="34"/>
        <v>111289.48</v>
      </c>
      <c r="Q718">
        <f t="shared" si="35"/>
        <v>3828.7399999999907</v>
      </c>
    </row>
    <row r="719" spans="1:17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  <c r="O719">
        <f t="shared" si="33"/>
        <v>26655.72</v>
      </c>
      <c r="P719">
        <f t="shared" si="34"/>
        <v>29933.760000000002</v>
      </c>
      <c r="Q719">
        <f t="shared" si="35"/>
        <v>3278.0400000000009</v>
      </c>
    </row>
    <row r="720" spans="1:17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  <c r="O720">
        <f t="shared" si="33"/>
        <v>5320.7</v>
      </c>
      <c r="P720">
        <f t="shared" si="34"/>
        <v>13487.980000000001</v>
      </c>
      <c r="Q720">
        <f t="shared" si="35"/>
        <v>8167.2800000000016</v>
      </c>
    </row>
    <row r="721" spans="1:17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  <c r="O721">
        <f t="shared" si="33"/>
        <v>15136.560000000001</v>
      </c>
      <c r="P721">
        <f t="shared" si="34"/>
        <v>17040.84</v>
      </c>
      <c r="Q721">
        <f t="shared" si="35"/>
        <v>1904.2799999999988</v>
      </c>
    </row>
    <row r="722" spans="1:17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  <c r="O722">
        <f t="shared" si="33"/>
        <v>138083.04</v>
      </c>
      <c r="P722">
        <f t="shared" si="34"/>
        <v>146763.72</v>
      </c>
      <c r="Q722">
        <f t="shared" si="35"/>
        <v>8680.679999999993</v>
      </c>
    </row>
    <row r="723" spans="1:17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  <c r="O723">
        <f t="shared" si="33"/>
        <v>61402.95</v>
      </c>
      <c r="P723">
        <f t="shared" si="34"/>
        <v>83016</v>
      </c>
      <c r="Q723">
        <f t="shared" si="35"/>
        <v>21613.050000000003</v>
      </c>
    </row>
    <row r="724" spans="1:17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  <c r="O724">
        <f t="shared" si="33"/>
        <v>145567.08000000002</v>
      </c>
      <c r="P724">
        <f t="shared" si="34"/>
        <v>157854.6</v>
      </c>
      <c r="Q724">
        <f t="shared" si="35"/>
        <v>12287.51999999999</v>
      </c>
    </row>
    <row r="725" spans="1:17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  <c r="O725">
        <f t="shared" si="33"/>
        <v>28521.68</v>
      </c>
      <c r="P725">
        <f t="shared" si="34"/>
        <v>38527.279999999999</v>
      </c>
      <c r="Q725">
        <f t="shared" si="35"/>
        <v>10005.599999999999</v>
      </c>
    </row>
    <row r="726" spans="1:17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  <c r="O726">
        <f t="shared" si="33"/>
        <v>57785.56</v>
      </c>
      <c r="P726">
        <f t="shared" si="34"/>
        <v>62931.82</v>
      </c>
      <c r="Q726">
        <f t="shared" si="35"/>
        <v>5146.260000000002</v>
      </c>
    </row>
    <row r="727" spans="1:17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  <c r="O727">
        <f t="shared" si="33"/>
        <v>7553.28</v>
      </c>
      <c r="P727">
        <f t="shared" si="34"/>
        <v>13479.36</v>
      </c>
      <c r="Q727">
        <f t="shared" si="35"/>
        <v>5926.0800000000008</v>
      </c>
    </row>
    <row r="728" spans="1:17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  <c r="O728">
        <f t="shared" si="33"/>
        <v>156153.96</v>
      </c>
      <c r="P728">
        <f t="shared" si="34"/>
        <v>157925.51999999999</v>
      </c>
      <c r="Q728">
        <f t="shared" si="35"/>
        <v>1771.5599999999977</v>
      </c>
    </row>
    <row r="729" spans="1:17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  <c r="O729">
        <f t="shared" si="33"/>
        <v>63024.249999999993</v>
      </c>
      <c r="P729">
        <f t="shared" si="34"/>
        <v>67677.749999999753</v>
      </c>
      <c r="Q729">
        <f t="shared" si="35"/>
        <v>4653.4999999997599</v>
      </c>
    </row>
    <row r="730" spans="1:17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  <c r="O730">
        <f t="shared" si="33"/>
        <v>48571.519999999997</v>
      </c>
      <c r="P730">
        <f t="shared" si="34"/>
        <v>62350.720000000001</v>
      </c>
      <c r="Q730">
        <f t="shared" si="35"/>
        <v>13779.200000000004</v>
      </c>
    </row>
    <row r="731" spans="1:17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  <c r="O731">
        <f t="shared" si="33"/>
        <v>44956.229999999996</v>
      </c>
      <c r="P731">
        <f t="shared" si="34"/>
        <v>49047.57</v>
      </c>
      <c r="Q731">
        <f t="shared" si="35"/>
        <v>4091.3400000000038</v>
      </c>
    </row>
    <row r="732" spans="1:17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  <c r="O732">
        <f t="shared" si="33"/>
        <v>98480.249999999985</v>
      </c>
      <c r="P732">
        <f t="shared" si="34"/>
        <v>101477.24999999956</v>
      </c>
      <c r="Q732">
        <f t="shared" si="35"/>
        <v>2996.999999999578</v>
      </c>
    </row>
    <row r="733" spans="1:17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  <c r="O733">
        <f t="shared" si="33"/>
        <v>179830.80000000002</v>
      </c>
      <c r="P733">
        <f t="shared" si="34"/>
        <v>185943.24</v>
      </c>
      <c r="Q733">
        <f t="shared" si="35"/>
        <v>6112.4399999999732</v>
      </c>
    </row>
    <row r="734" spans="1:17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  <c r="O734">
        <f t="shared" si="33"/>
        <v>22812.399999999998</v>
      </c>
      <c r="P734">
        <f t="shared" si="34"/>
        <v>25172.599999999802</v>
      </c>
      <c r="Q734">
        <f t="shared" si="35"/>
        <v>2360.1999999998043</v>
      </c>
    </row>
    <row r="735" spans="1:17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  <c r="O735">
        <f t="shared" si="33"/>
        <v>10096.56</v>
      </c>
      <c r="P735">
        <f t="shared" si="34"/>
        <v>18437.579999999998</v>
      </c>
      <c r="Q735">
        <f t="shared" si="35"/>
        <v>8341.0199999999986</v>
      </c>
    </row>
    <row r="736" spans="1:17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  <c r="O736">
        <f t="shared" si="33"/>
        <v>111944.96000000001</v>
      </c>
      <c r="P736">
        <f t="shared" si="34"/>
        <v>128486.35999999999</v>
      </c>
      <c r="Q736">
        <f t="shared" si="35"/>
        <v>16541.39999999998</v>
      </c>
    </row>
    <row r="737" spans="1:17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  <c r="O737">
        <f t="shared" si="33"/>
        <v>7404.87</v>
      </c>
      <c r="P737">
        <f t="shared" si="34"/>
        <v>8169.39</v>
      </c>
      <c r="Q737">
        <f t="shared" si="35"/>
        <v>764.52000000000044</v>
      </c>
    </row>
    <row r="738" spans="1:17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  <c r="O738">
        <f t="shared" si="33"/>
        <v>60829.71</v>
      </c>
      <c r="P738">
        <f t="shared" si="34"/>
        <v>61751.09</v>
      </c>
      <c r="Q738">
        <f t="shared" si="35"/>
        <v>921.37999999999738</v>
      </c>
    </row>
    <row r="739" spans="1:17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  <c r="O739">
        <f t="shared" si="33"/>
        <v>107242.56</v>
      </c>
      <c r="P739">
        <f t="shared" si="34"/>
        <v>118767.03999999999</v>
      </c>
      <c r="Q739">
        <f t="shared" si="35"/>
        <v>11524.479999999996</v>
      </c>
    </row>
    <row r="740" spans="1:17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  <c r="O740">
        <f t="shared" si="33"/>
        <v>61756.2</v>
      </c>
      <c r="P740">
        <f t="shared" si="34"/>
        <v>75952.349999999991</v>
      </c>
      <c r="Q740">
        <f t="shared" si="35"/>
        <v>14196.149999999994</v>
      </c>
    </row>
    <row r="741" spans="1:17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  <c r="O741">
        <f t="shared" si="33"/>
        <v>72924.639999999999</v>
      </c>
      <c r="P741">
        <f t="shared" si="34"/>
        <v>80693.759999999995</v>
      </c>
      <c r="Q741">
        <f t="shared" si="35"/>
        <v>7769.1199999999953</v>
      </c>
    </row>
    <row r="742" spans="1:17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  <c r="O742">
        <f t="shared" si="33"/>
        <v>11032.9</v>
      </c>
      <c r="P742">
        <f t="shared" si="34"/>
        <v>12452.349999999999</v>
      </c>
      <c r="Q742">
        <f t="shared" si="35"/>
        <v>1419.4499999999989</v>
      </c>
    </row>
    <row r="743" spans="1:17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  <c r="O743">
        <f t="shared" si="33"/>
        <v>2755.92</v>
      </c>
      <c r="P743">
        <f t="shared" si="34"/>
        <v>3455.24</v>
      </c>
      <c r="Q743">
        <f t="shared" si="35"/>
        <v>699.31999999999971</v>
      </c>
    </row>
    <row r="744" spans="1:17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  <c r="O744">
        <f t="shared" si="33"/>
        <v>78211.98</v>
      </c>
      <c r="P744">
        <f t="shared" si="34"/>
        <v>83762.7</v>
      </c>
      <c r="Q744">
        <f t="shared" si="35"/>
        <v>5550.7200000000012</v>
      </c>
    </row>
    <row r="745" spans="1:17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  <c r="O745">
        <f t="shared" si="33"/>
        <v>129334.79999999999</v>
      </c>
      <c r="P745">
        <f t="shared" si="34"/>
        <v>148928.4</v>
      </c>
      <c r="Q745">
        <f t="shared" si="35"/>
        <v>19593.600000000006</v>
      </c>
    </row>
    <row r="746" spans="1:17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  <c r="O746">
        <f t="shared" si="33"/>
        <v>22581.02</v>
      </c>
      <c r="P746">
        <f t="shared" si="34"/>
        <v>27498.100000000002</v>
      </c>
      <c r="Q746">
        <f t="shared" si="35"/>
        <v>4917.0800000000017</v>
      </c>
    </row>
    <row r="747" spans="1:17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  <c r="O747">
        <f t="shared" si="33"/>
        <v>121934.28</v>
      </c>
      <c r="P747">
        <f t="shared" si="34"/>
        <v>135165.81</v>
      </c>
      <c r="Q747">
        <f t="shared" si="35"/>
        <v>13231.529999999999</v>
      </c>
    </row>
    <row r="748" spans="1:17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  <c r="O748">
        <f t="shared" si="33"/>
        <v>35287.919999999998</v>
      </c>
      <c r="P748">
        <f t="shared" si="34"/>
        <v>39253.75</v>
      </c>
      <c r="Q748">
        <f t="shared" si="35"/>
        <v>3965.8300000000017</v>
      </c>
    </row>
    <row r="749" spans="1:17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  <c r="O749">
        <f t="shared" si="33"/>
        <v>31527.299999999996</v>
      </c>
      <c r="P749">
        <f t="shared" si="34"/>
        <v>36768.479999999865</v>
      </c>
      <c r="Q749">
        <f t="shared" si="35"/>
        <v>5241.1799999998693</v>
      </c>
    </row>
    <row r="750" spans="1:17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  <c r="O750">
        <f t="shared" si="33"/>
        <v>27012.54</v>
      </c>
      <c r="P750">
        <f t="shared" si="34"/>
        <v>29278.32</v>
      </c>
      <c r="Q750">
        <f t="shared" si="35"/>
        <v>2265.7799999999988</v>
      </c>
    </row>
    <row r="751" spans="1:17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  <c r="O751">
        <f t="shared" si="33"/>
        <v>8531.880000000001</v>
      </c>
      <c r="P751">
        <f t="shared" si="34"/>
        <v>10517.52</v>
      </c>
      <c r="Q751">
        <f t="shared" si="35"/>
        <v>1985.6399999999994</v>
      </c>
    </row>
    <row r="752" spans="1:17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  <c r="O752">
        <f t="shared" si="33"/>
        <v>31426.400000000001</v>
      </c>
      <c r="P752">
        <f t="shared" si="34"/>
        <v>35378.720000000001</v>
      </c>
      <c r="Q752">
        <f t="shared" si="35"/>
        <v>3952.3199999999997</v>
      </c>
    </row>
    <row r="753" spans="1:17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  <c r="O753">
        <f t="shared" si="33"/>
        <v>69949.22</v>
      </c>
      <c r="P753">
        <f t="shared" si="34"/>
        <v>72573.339999999836</v>
      </c>
      <c r="Q753">
        <f t="shared" si="35"/>
        <v>2624.1199999998353</v>
      </c>
    </row>
    <row r="754" spans="1:17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  <c r="O754">
        <f t="shared" si="33"/>
        <v>218204.09999999998</v>
      </c>
      <c r="P754">
        <f t="shared" si="34"/>
        <v>224358.75</v>
      </c>
      <c r="Q754">
        <f t="shared" si="35"/>
        <v>6154.6500000000233</v>
      </c>
    </row>
    <row r="755" spans="1:17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  <c r="O755">
        <f t="shared" si="33"/>
        <v>52829.39</v>
      </c>
      <c r="P755">
        <f t="shared" si="34"/>
        <v>53351.259999999995</v>
      </c>
      <c r="Q755">
        <f t="shared" si="35"/>
        <v>521.86999999999534</v>
      </c>
    </row>
    <row r="756" spans="1:17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  <c r="O756">
        <f t="shared" si="33"/>
        <v>35835.1</v>
      </c>
      <c r="P756">
        <f t="shared" si="34"/>
        <v>37931.599999999999</v>
      </c>
      <c r="Q756">
        <f t="shared" si="35"/>
        <v>2096.5</v>
      </c>
    </row>
    <row r="757" spans="1:17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  <c r="O757">
        <f t="shared" si="33"/>
        <v>20175.75</v>
      </c>
      <c r="P757">
        <f t="shared" si="34"/>
        <v>22145.899999999998</v>
      </c>
      <c r="Q757">
        <f t="shared" si="35"/>
        <v>1970.1499999999978</v>
      </c>
    </row>
    <row r="758" spans="1:17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  <c r="O758">
        <f t="shared" si="33"/>
        <v>214595.52</v>
      </c>
      <c r="P758">
        <f t="shared" si="34"/>
        <v>215091.4</v>
      </c>
      <c r="Q758">
        <f t="shared" si="35"/>
        <v>495.88000000000466</v>
      </c>
    </row>
    <row r="759" spans="1:17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  <c r="O759">
        <f t="shared" si="33"/>
        <v>137539.84</v>
      </c>
      <c r="P759">
        <f t="shared" si="34"/>
        <v>142300.79999999999</v>
      </c>
      <c r="Q759">
        <f t="shared" si="35"/>
        <v>4760.9599999999919</v>
      </c>
    </row>
    <row r="760" spans="1:17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  <c r="O760">
        <f t="shared" si="33"/>
        <v>13417.2</v>
      </c>
      <c r="P760">
        <f t="shared" si="34"/>
        <v>20045.55</v>
      </c>
      <c r="Q760">
        <f t="shared" si="35"/>
        <v>6628.3499999999985</v>
      </c>
    </row>
    <row r="761" spans="1:17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  <c r="O761">
        <f t="shared" si="33"/>
        <v>97325.799999999988</v>
      </c>
      <c r="P761">
        <f t="shared" si="34"/>
        <v>110564.95999999957</v>
      </c>
      <c r="Q761">
        <f t="shared" si="35"/>
        <v>13239.159999999581</v>
      </c>
    </row>
    <row r="762" spans="1:17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  <c r="O762">
        <f t="shared" si="33"/>
        <v>39895.600000000006</v>
      </c>
      <c r="P762">
        <f t="shared" si="34"/>
        <v>45129.05</v>
      </c>
      <c r="Q762">
        <f t="shared" si="35"/>
        <v>5233.4499999999971</v>
      </c>
    </row>
    <row r="763" spans="1:17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  <c r="O763">
        <f t="shared" si="33"/>
        <v>162197.23000000001</v>
      </c>
      <c r="P763">
        <f t="shared" si="34"/>
        <v>170710.88</v>
      </c>
      <c r="Q763">
        <f t="shared" si="35"/>
        <v>8513.6499999999942</v>
      </c>
    </row>
    <row r="764" spans="1:17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  <c r="O764">
        <f t="shared" si="33"/>
        <v>142613.04</v>
      </c>
      <c r="P764">
        <f t="shared" si="34"/>
        <v>158662.13</v>
      </c>
      <c r="Q764">
        <f t="shared" si="35"/>
        <v>16049.089999999997</v>
      </c>
    </row>
    <row r="765" spans="1:17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  <c r="O765">
        <f t="shared" si="33"/>
        <v>144689.16</v>
      </c>
      <c r="P765">
        <f t="shared" si="34"/>
        <v>149224.24</v>
      </c>
      <c r="Q765">
        <f t="shared" si="35"/>
        <v>4535.0799999999872</v>
      </c>
    </row>
    <row r="766" spans="1:17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  <c r="O766">
        <f t="shared" si="33"/>
        <v>169697.06</v>
      </c>
      <c r="P766">
        <f t="shared" si="34"/>
        <v>183677.52</v>
      </c>
      <c r="Q766">
        <f t="shared" si="35"/>
        <v>13980.459999999992</v>
      </c>
    </row>
    <row r="767" spans="1:17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  <c r="O767">
        <f t="shared" si="33"/>
        <v>2105.25</v>
      </c>
      <c r="P767">
        <f t="shared" si="34"/>
        <v>2441.15</v>
      </c>
      <c r="Q767">
        <f t="shared" si="35"/>
        <v>335.90000000000009</v>
      </c>
    </row>
    <row r="768" spans="1:17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  <c r="O768">
        <f t="shared" si="33"/>
        <v>51925.500000000007</v>
      </c>
      <c r="P768">
        <f t="shared" si="34"/>
        <v>66840.3</v>
      </c>
      <c r="Q768">
        <f t="shared" si="35"/>
        <v>14914.799999999996</v>
      </c>
    </row>
    <row r="769" spans="1:17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  <c r="O769">
        <f t="shared" si="33"/>
        <v>55865.159999999996</v>
      </c>
      <c r="P769">
        <f t="shared" si="34"/>
        <v>60648.479999999996</v>
      </c>
      <c r="Q769">
        <f t="shared" si="35"/>
        <v>4783.32</v>
      </c>
    </row>
    <row r="770" spans="1:17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  <c r="O770">
        <f t="shared" si="33"/>
        <v>40744.959999999999</v>
      </c>
      <c r="P770">
        <f t="shared" si="34"/>
        <v>49399.4</v>
      </c>
      <c r="Q770">
        <f t="shared" si="35"/>
        <v>8654.4400000000023</v>
      </c>
    </row>
    <row r="771" spans="1:17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  <c r="O771">
        <f t="shared" ref="O771:O834" si="36">H771*F771</f>
        <v>6286</v>
      </c>
      <c r="P771">
        <f t="shared" ref="P771:P834" si="37">I771*F771</f>
        <v>17461.199999999997</v>
      </c>
      <c r="Q771">
        <f t="shared" ref="Q771:Q834" si="38">P771-O771</f>
        <v>11175.199999999997</v>
      </c>
    </row>
    <row r="772" spans="1:17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  <c r="O772">
        <f t="shared" si="36"/>
        <v>7060.2</v>
      </c>
      <c r="P772">
        <f t="shared" si="37"/>
        <v>10303.300000000001</v>
      </c>
      <c r="Q772">
        <f t="shared" si="38"/>
        <v>3243.1000000000013</v>
      </c>
    </row>
    <row r="773" spans="1:17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  <c r="O773">
        <f t="shared" si="36"/>
        <v>51310.799999999996</v>
      </c>
      <c r="P773">
        <f t="shared" si="37"/>
        <v>52706.1</v>
      </c>
      <c r="Q773">
        <f t="shared" si="38"/>
        <v>1395.3000000000029</v>
      </c>
    </row>
    <row r="774" spans="1:17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  <c r="O774">
        <f t="shared" si="36"/>
        <v>189314.38</v>
      </c>
      <c r="P774">
        <f t="shared" si="37"/>
        <v>203162.1</v>
      </c>
      <c r="Q774">
        <f t="shared" si="38"/>
        <v>13847.720000000001</v>
      </c>
    </row>
    <row r="775" spans="1:17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  <c r="O775">
        <f t="shared" si="36"/>
        <v>85648.86</v>
      </c>
      <c r="P775">
        <f t="shared" si="37"/>
        <v>101740.98</v>
      </c>
      <c r="Q775">
        <f t="shared" si="38"/>
        <v>16092.119999999995</v>
      </c>
    </row>
    <row r="776" spans="1:17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  <c r="O776">
        <f t="shared" si="36"/>
        <v>84289</v>
      </c>
      <c r="P776">
        <f t="shared" si="37"/>
        <v>97140.05</v>
      </c>
      <c r="Q776">
        <f t="shared" si="38"/>
        <v>12851.050000000003</v>
      </c>
    </row>
    <row r="777" spans="1:17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  <c r="O777">
        <f t="shared" si="36"/>
        <v>45944.85</v>
      </c>
      <c r="P777">
        <f t="shared" si="37"/>
        <v>47323.85</v>
      </c>
      <c r="Q777">
        <f t="shared" si="38"/>
        <v>1379</v>
      </c>
    </row>
    <row r="778" spans="1:17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  <c r="O778">
        <f t="shared" si="36"/>
        <v>65466.829999999994</v>
      </c>
      <c r="P778">
        <f t="shared" si="37"/>
        <v>68770.779999999839</v>
      </c>
      <c r="Q778">
        <f t="shared" si="38"/>
        <v>3303.9499999998443</v>
      </c>
    </row>
    <row r="779" spans="1:17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  <c r="O779">
        <f t="shared" si="36"/>
        <v>105598.64</v>
      </c>
      <c r="P779">
        <f t="shared" si="37"/>
        <v>118577.76000000001</v>
      </c>
      <c r="Q779">
        <f t="shared" si="38"/>
        <v>12979.12000000001</v>
      </c>
    </row>
    <row r="780" spans="1:17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  <c r="O780">
        <f t="shared" si="36"/>
        <v>56285.789999999994</v>
      </c>
      <c r="P780">
        <f t="shared" si="37"/>
        <v>61159.099999999809</v>
      </c>
      <c r="Q780">
        <f t="shared" si="38"/>
        <v>4873.3099999998158</v>
      </c>
    </row>
    <row r="781" spans="1:17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  <c r="O781">
        <f t="shared" si="36"/>
        <v>50723.740000000005</v>
      </c>
      <c r="P781">
        <f t="shared" si="37"/>
        <v>66107.51999999999</v>
      </c>
      <c r="Q781">
        <f t="shared" si="38"/>
        <v>15383.779999999984</v>
      </c>
    </row>
    <row r="782" spans="1:17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  <c r="O782">
        <f t="shared" si="36"/>
        <v>12195.52</v>
      </c>
      <c r="P782">
        <f t="shared" si="37"/>
        <v>22710.43</v>
      </c>
      <c r="Q782">
        <f t="shared" si="38"/>
        <v>10514.91</v>
      </c>
    </row>
    <row r="783" spans="1:17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  <c r="O783">
        <f t="shared" si="36"/>
        <v>11775.36</v>
      </c>
      <c r="P783">
        <f t="shared" si="37"/>
        <v>25796.48</v>
      </c>
      <c r="Q783">
        <f t="shared" si="38"/>
        <v>14021.119999999999</v>
      </c>
    </row>
    <row r="784" spans="1:17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  <c r="O784">
        <f t="shared" si="36"/>
        <v>119354</v>
      </c>
      <c r="P784">
        <f t="shared" si="37"/>
        <v>129589.59999999999</v>
      </c>
      <c r="Q784">
        <f t="shared" si="38"/>
        <v>10235.599999999991</v>
      </c>
    </row>
    <row r="785" spans="1:17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  <c r="O785">
        <f t="shared" si="36"/>
        <v>53740.959999999999</v>
      </c>
      <c r="P785">
        <f t="shared" si="37"/>
        <v>56658.81</v>
      </c>
      <c r="Q785">
        <f t="shared" si="38"/>
        <v>2917.8499999999985</v>
      </c>
    </row>
    <row r="786" spans="1:17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  <c r="O786">
        <f t="shared" si="36"/>
        <v>85974.799999999988</v>
      </c>
      <c r="P786">
        <f t="shared" si="37"/>
        <v>89503.799999999988</v>
      </c>
      <c r="Q786">
        <f t="shared" si="38"/>
        <v>3529</v>
      </c>
    </row>
    <row r="787" spans="1:17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  <c r="O787">
        <f t="shared" si="36"/>
        <v>82072.549999999988</v>
      </c>
      <c r="P787">
        <f t="shared" si="37"/>
        <v>94753.75</v>
      </c>
      <c r="Q787">
        <f t="shared" si="38"/>
        <v>12681.200000000012</v>
      </c>
    </row>
    <row r="788" spans="1:17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  <c r="O788">
        <f t="shared" si="36"/>
        <v>19660.7</v>
      </c>
      <c r="P788">
        <f t="shared" si="37"/>
        <v>20413.799999999952</v>
      </c>
      <c r="Q788">
        <f t="shared" si="38"/>
        <v>753.09999999995125</v>
      </c>
    </row>
    <row r="789" spans="1:17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  <c r="O789">
        <f t="shared" si="36"/>
        <v>42633.54</v>
      </c>
      <c r="P789">
        <f t="shared" si="37"/>
        <v>43825.5</v>
      </c>
      <c r="Q789">
        <f t="shared" si="38"/>
        <v>1191.9599999999991</v>
      </c>
    </row>
    <row r="790" spans="1:17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  <c r="O790">
        <f t="shared" si="36"/>
        <v>40950.61</v>
      </c>
      <c r="P790">
        <f t="shared" si="37"/>
        <v>46302.849999999715</v>
      </c>
      <c r="Q790">
        <f t="shared" si="38"/>
        <v>5352.2399999997142</v>
      </c>
    </row>
    <row r="791" spans="1:17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  <c r="O791">
        <f t="shared" si="36"/>
        <v>12119.400000000001</v>
      </c>
      <c r="P791">
        <f t="shared" si="37"/>
        <v>12700.439999999999</v>
      </c>
      <c r="Q791">
        <f t="shared" si="38"/>
        <v>581.03999999999724</v>
      </c>
    </row>
    <row r="792" spans="1:17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  <c r="O792">
        <f t="shared" si="36"/>
        <v>116520.5</v>
      </c>
      <c r="P792">
        <f t="shared" si="37"/>
        <v>125285.74999999975</v>
      </c>
      <c r="Q792">
        <f t="shared" si="38"/>
        <v>8765.2499999997526</v>
      </c>
    </row>
    <row r="793" spans="1:17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  <c r="O793">
        <f t="shared" si="36"/>
        <v>53451.44</v>
      </c>
      <c r="P793">
        <f t="shared" si="37"/>
        <v>63122.200000000004</v>
      </c>
      <c r="Q793">
        <f t="shared" si="38"/>
        <v>9670.760000000002</v>
      </c>
    </row>
    <row r="794" spans="1:17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  <c r="O794">
        <f t="shared" si="36"/>
        <v>100621.18</v>
      </c>
      <c r="P794">
        <f t="shared" si="37"/>
        <v>106046.59999999979</v>
      </c>
      <c r="Q794">
        <f t="shared" si="38"/>
        <v>5425.4199999997945</v>
      </c>
    </row>
    <row r="795" spans="1:17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  <c r="O795">
        <f t="shared" si="36"/>
        <v>9812.34</v>
      </c>
      <c r="P795">
        <f t="shared" si="37"/>
        <v>10214.86</v>
      </c>
      <c r="Q795">
        <f t="shared" si="38"/>
        <v>402.52000000000044</v>
      </c>
    </row>
    <row r="796" spans="1:17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  <c r="O796">
        <f t="shared" si="36"/>
        <v>149668.20000000001</v>
      </c>
      <c r="P796">
        <f t="shared" si="37"/>
        <v>170163</v>
      </c>
      <c r="Q796">
        <f t="shared" si="38"/>
        <v>20494.799999999988</v>
      </c>
    </row>
    <row r="797" spans="1:17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  <c r="O797">
        <f t="shared" si="36"/>
        <v>20468.05</v>
      </c>
      <c r="P797">
        <f t="shared" si="37"/>
        <v>20589.400000000001</v>
      </c>
      <c r="Q797">
        <f t="shared" si="38"/>
        <v>121.35000000000218</v>
      </c>
    </row>
    <row r="798" spans="1:17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  <c r="O798">
        <f t="shared" si="36"/>
        <v>101526.75</v>
      </c>
      <c r="P798">
        <f t="shared" si="37"/>
        <v>111971.96999999999</v>
      </c>
      <c r="Q798">
        <f t="shared" si="38"/>
        <v>10445.219999999987</v>
      </c>
    </row>
    <row r="799" spans="1:17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  <c r="O799">
        <f t="shared" si="36"/>
        <v>87817.25</v>
      </c>
      <c r="P799">
        <f t="shared" si="37"/>
        <v>99115.75</v>
      </c>
      <c r="Q799">
        <f t="shared" si="38"/>
        <v>11298.5</v>
      </c>
    </row>
    <row r="800" spans="1:17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  <c r="O800">
        <f t="shared" si="36"/>
        <v>12554.48</v>
      </c>
      <c r="P800">
        <f t="shared" si="37"/>
        <v>14384.16</v>
      </c>
      <c r="Q800">
        <f t="shared" si="38"/>
        <v>1829.6800000000003</v>
      </c>
    </row>
    <row r="801" spans="1:17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  <c r="O801">
        <f t="shared" si="36"/>
        <v>332.62</v>
      </c>
      <c r="P801">
        <f t="shared" si="37"/>
        <v>612.46</v>
      </c>
      <c r="Q801">
        <f t="shared" si="38"/>
        <v>279.84000000000003</v>
      </c>
    </row>
    <row r="802" spans="1:17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  <c r="O802">
        <f t="shared" si="36"/>
        <v>34962.199999999997</v>
      </c>
      <c r="P802">
        <f t="shared" si="37"/>
        <v>44418</v>
      </c>
      <c r="Q802">
        <f t="shared" si="38"/>
        <v>9455.8000000000029</v>
      </c>
    </row>
    <row r="803" spans="1:17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  <c r="O803">
        <f t="shared" si="36"/>
        <v>147458.51999999999</v>
      </c>
      <c r="P803">
        <f t="shared" si="37"/>
        <v>152475.4</v>
      </c>
      <c r="Q803">
        <f t="shared" si="38"/>
        <v>5016.8800000000047</v>
      </c>
    </row>
    <row r="804" spans="1:17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  <c r="O804">
        <f t="shared" si="36"/>
        <v>12822.96</v>
      </c>
      <c r="P804">
        <f t="shared" si="37"/>
        <v>18914.97</v>
      </c>
      <c r="Q804">
        <f t="shared" si="38"/>
        <v>6092.010000000002</v>
      </c>
    </row>
    <row r="805" spans="1:17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  <c r="O805">
        <f t="shared" si="36"/>
        <v>3487.68</v>
      </c>
      <c r="P805">
        <f t="shared" si="37"/>
        <v>11251.2</v>
      </c>
      <c r="Q805">
        <f t="shared" si="38"/>
        <v>7763.52</v>
      </c>
    </row>
    <row r="806" spans="1:17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  <c r="O806">
        <f t="shared" si="36"/>
        <v>8156.2800000000007</v>
      </c>
      <c r="P806">
        <f t="shared" si="37"/>
        <v>9658.99</v>
      </c>
      <c r="Q806">
        <f t="shared" si="38"/>
        <v>1502.7099999999991</v>
      </c>
    </row>
    <row r="807" spans="1:17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  <c r="O807">
        <f t="shared" si="36"/>
        <v>140122.71</v>
      </c>
      <c r="P807">
        <f t="shared" si="37"/>
        <v>156156</v>
      </c>
      <c r="Q807">
        <f t="shared" si="38"/>
        <v>16033.290000000008</v>
      </c>
    </row>
    <row r="808" spans="1:17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  <c r="O808">
        <f t="shared" si="36"/>
        <v>228670.51</v>
      </c>
      <c r="P808">
        <f t="shared" si="37"/>
        <v>249858.11000000002</v>
      </c>
      <c r="Q808">
        <f t="shared" si="38"/>
        <v>21187.600000000006</v>
      </c>
    </row>
    <row r="809" spans="1:17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  <c r="O809">
        <f t="shared" si="36"/>
        <v>117988.08</v>
      </c>
      <c r="P809">
        <f t="shared" si="37"/>
        <v>127423.67999999999</v>
      </c>
      <c r="Q809">
        <f t="shared" si="38"/>
        <v>9435.5999999999913</v>
      </c>
    </row>
    <row r="810" spans="1:17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  <c r="O810">
        <f t="shared" si="36"/>
        <v>27447.199999999997</v>
      </c>
      <c r="P810">
        <f t="shared" si="37"/>
        <v>28610.23</v>
      </c>
      <c r="Q810">
        <f t="shared" si="38"/>
        <v>1163.0300000000025</v>
      </c>
    </row>
    <row r="811" spans="1:17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  <c r="O811">
        <f t="shared" si="36"/>
        <v>126245.41</v>
      </c>
      <c r="P811">
        <f t="shared" si="37"/>
        <v>127768.20000000001</v>
      </c>
      <c r="Q811">
        <f t="shared" si="38"/>
        <v>1522.7900000000081</v>
      </c>
    </row>
    <row r="812" spans="1:17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  <c r="O812">
        <f t="shared" si="36"/>
        <v>96129.54</v>
      </c>
      <c r="P812">
        <f t="shared" si="37"/>
        <v>104102.96</v>
      </c>
      <c r="Q812">
        <f t="shared" si="38"/>
        <v>7973.4200000000128</v>
      </c>
    </row>
    <row r="813" spans="1:17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  <c r="O813">
        <f t="shared" si="36"/>
        <v>40482.400000000001</v>
      </c>
      <c r="P813">
        <f t="shared" si="37"/>
        <v>41090.080000000002</v>
      </c>
      <c r="Q813">
        <f t="shared" si="38"/>
        <v>607.68000000000029</v>
      </c>
    </row>
    <row r="814" spans="1:17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  <c r="O814">
        <f t="shared" si="36"/>
        <v>100980.59999999999</v>
      </c>
      <c r="P814">
        <f t="shared" si="37"/>
        <v>112869.39999999966</v>
      </c>
      <c r="Q814">
        <f t="shared" si="38"/>
        <v>11888.799999999668</v>
      </c>
    </row>
    <row r="815" spans="1:17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  <c r="O815">
        <f t="shared" si="36"/>
        <v>14585.4</v>
      </c>
      <c r="P815">
        <f t="shared" si="37"/>
        <v>19983.599999999999</v>
      </c>
      <c r="Q815">
        <f t="shared" si="38"/>
        <v>5398.1999999999989</v>
      </c>
    </row>
    <row r="816" spans="1:17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  <c r="O816">
        <f t="shared" si="36"/>
        <v>215805.32</v>
      </c>
      <c r="P816">
        <f t="shared" si="37"/>
        <v>231204.74</v>
      </c>
      <c r="Q816">
        <f t="shared" si="38"/>
        <v>15399.419999999984</v>
      </c>
    </row>
    <row r="817" spans="1:17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  <c r="O817">
        <f t="shared" si="36"/>
        <v>5376.15</v>
      </c>
      <c r="P817">
        <f t="shared" si="37"/>
        <v>6273.6900000000005</v>
      </c>
      <c r="Q817">
        <f t="shared" si="38"/>
        <v>897.54000000000087</v>
      </c>
    </row>
    <row r="818" spans="1:17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  <c r="O818">
        <f t="shared" si="36"/>
        <v>2258.44</v>
      </c>
      <c r="P818">
        <f t="shared" si="37"/>
        <v>2475.56</v>
      </c>
      <c r="Q818">
        <f t="shared" si="38"/>
        <v>217.11999999999989</v>
      </c>
    </row>
    <row r="819" spans="1:17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  <c r="O819">
        <f t="shared" si="36"/>
        <v>158611.84</v>
      </c>
      <c r="P819">
        <f t="shared" si="37"/>
        <v>163708.04999999952</v>
      </c>
      <c r="Q819">
        <f t="shared" si="38"/>
        <v>5096.2099999995262</v>
      </c>
    </row>
    <row r="820" spans="1:17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  <c r="O820">
        <f t="shared" si="36"/>
        <v>1702.82</v>
      </c>
      <c r="P820">
        <f t="shared" si="37"/>
        <v>1862.61</v>
      </c>
      <c r="Q820">
        <f t="shared" si="38"/>
        <v>159.78999999999996</v>
      </c>
    </row>
    <row r="821" spans="1:17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  <c r="O821">
        <f t="shared" si="36"/>
        <v>22245.86</v>
      </c>
      <c r="P821">
        <f t="shared" si="37"/>
        <v>26785.03</v>
      </c>
      <c r="Q821">
        <f t="shared" si="38"/>
        <v>4539.1699999999983</v>
      </c>
    </row>
    <row r="822" spans="1:17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  <c r="O822">
        <f t="shared" si="36"/>
        <v>6347.38</v>
      </c>
      <c r="P822">
        <f t="shared" si="37"/>
        <v>7006.22</v>
      </c>
      <c r="Q822">
        <f t="shared" si="38"/>
        <v>658.84000000000015</v>
      </c>
    </row>
    <row r="823" spans="1:17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  <c r="O823">
        <f t="shared" si="36"/>
        <v>5036.4299999999994</v>
      </c>
      <c r="P823">
        <f t="shared" si="37"/>
        <v>16402.98</v>
      </c>
      <c r="Q823">
        <f t="shared" si="38"/>
        <v>11366.55</v>
      </c>
    </row>
    <row r="824" spans="1:17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  <c r="O824">
        <f t="shared" si="36"/>
        <v>72351.8</v>
      </c>
      <c r="P824">
        <f t="shared" si="37"/>
        <v>80070</v>
      </c>
      <c r="Q824">
        <f t="shared" si="38"/>
        <v>7718.1999999999971</v>
      </c>
    </row>
    <row r="825" spans="1:17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  <c r="O825">
        <f t="shared" si="36"/>
        <v>15566.52</v>
      </c>
      <c r="P825">
        <f t="shared" si="37"/>
        <v>18486.239999999998</v>
      </c>
      <c r="Q825">
        <f t="shared" si="38"/>
        <v>2919.7199999999975</v>
      </c>
    </row>
    <row r="826" spans="1:17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  <c r="O826">
        <f t="shared" si="36"/>
        <v>24387.84</v>
      </c>
      <c r="P826">
        <f t="shared" si="37"/>
        <v>25588.32</v>
      </c>
      <c r="Q826">
        <f t="shared" si="38"/>
        <v>1200.4799999999996</v>
      </c>
    </row>
    <row r="827" spans="1:17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  <c r="O827">
        <f t="shared" si="36"/>
        <v>92156.49</v>
      </c>
      <c r="P827">
        <f t="shared" si="37"/>
        <v>93456.85</v>
      </c>
      <c r="Q827">
        <f t="shared" si="38"/>
        <v>1300.3600000000006</v>
      </c>
    </row>
    <row r="828" spans="1:17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  <c r="O828">
        <f t="shared" si="36"/>
        <v>127627.20000000001</v>
      </c>
      <c r="P828">
        <f t="shared" si="37"/>
        <v>136236.96</v>
      </c>
      <c r="Q828">
        <f t="shared" si="38"/>
        <v>8609.7599999999802</v>
      </c>
    </row>
    <row r="829" spans="1:17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  <c r="O829">
        <f t="shared" si="36"/>
        <v>96806.819999999992</v>
      </c>
      <c r="P829">
        <f t="shared" si="37"/>
        <v>109155.75</v>
      </c>
      <c r="Q829">
        <f t="shared" si="38"/>
        <v>12348.930000000008</v>
      </c>
    </row>
    <row r="830" spans="1:17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  <c r="O830">
        <f t="shared" si="36"/>
        <v>10304.25</v>
      </c>
      <c r="P830">
        <f t="shared" si="37"/>
        <v>10978.26</v>
      </c>
      <c r="Q830">
        <f t="shared" si="38"/>
        <v>674.01000000000022</v>
      </c>
    </row>
    <row r="831" spans="1:17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  <c r="O831">
        <f t="shared" si="36"/>
        <v>132227.9</v>
      </c>
      <c r="P831">
        <f t="shared" si="37"/>
        <v>146603.1</v>
      </c>
      <c r="Q831">
        <f t="shared" si="38"/>
        <v>14375.200000000012</v>
      </c>
    </row>
    <row r="832" spans="1:17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  <c r="O832">
        <f t="shared" si="36"/>
        <v>18254.45</v>
      </c>
      <c r="P832">
        <f t="shared" si="37"/>
        <v>19650.3</v>
      </c>
      <c r="Q832">
        <f t="shared" si="38"/>
        <v>1395.8499999999985</v>
      </c>
    </row>
    <row r="833" spans="1:17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  <c r="O833">
        <f t="shared" si="36"/>
        <v>117574.20000000001</v>
      </c>
      <c r="P833">
        <f t="shared" si="37"/>
        <v>130145.4</v>
      </c>
      <c r="Q833">
        <f t="shared" si="38"/>
        <v>12571.199999999983</v>
      </c>
    </row>
    <row r="834" spans="1:17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  <c r="O834">
        <f t="shared" si="36"/>
        <v>43460.56</v>
      </c>
      <c r="P834">
        <f t="shared" si="37"/>
        <v>64336.36</v>
      </c>
      <c r="Q834">
        <f t="shared" si="38"/>
        <v>20875.800000000003</v>
      </c>
    </row>
    <row r="835" spans="1:17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  <c r="O835">
        <f t="shared" ref="O835:O898" si="39">H835*F835</f>
        <v>24428.16</v>
      </c>
      <c r="P835">
        <f t="shared" ref="P835:P898" si="40">I835*F835</f>
        <v>24955.68</v>
      </c>
      <c r="Q835">
        <f t="shared" ref="Q835:Q898" si="41">P835-O835</f>
        <v>527.52000000000044</v>
      </c>
    </row>
    <row r="836" spans="1:17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  <c r="O836">
        <f t="shared" si="39"/>
        <v>94831.8</v>
      </c>
      <c r="P836">
        <f t="shared" si="40"/>
        <v>99504.599999999991</v>
      </c>
      <c r="Q836">
        <f t="shared" si="41"/>
        <v>4672.7999999999884</v>
      </c>
    </row>
    <row r="837" spans="1:17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  <c r="O837">
        <f t="shared" si="39"/>
        <v>90590.399999999994</v>
      </c>
      <c r="P837">
        <f t="shared" si="40"/>
        <v>104484.15</v>
      </c>
      <c r="Q837">
        <f t="shared" si="41"/>
        <v>13893.75</v>
      </c>
    </row>
    <row r="838" spans="1:17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  <c r="O838">
        <f t="shared" si="39"/>
        <v>13362.2</v>
      </c>
      <c r="P838">
        <f t="shared" si="40"/>
        <v>16069.8</v>
      </c>
      <c r="Q838">
        <f t="shared" si="41"/>
        <v>2707.5999999999985</v>
      </c>
    </row>
    <row r="839" spans="1:17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  <c r="O839">
        <f t="shared" si="39"/>
        <v>23858.55</v>
      </c>
      <c r="P839">
        <f t="shared" si="40"/>
        <v>25743.779999999912</v>
      </c>
      <c r="Q839">
        <f t="shared" si="41"/>
        <v>1885.2299999999123</v>
      </c>
    </row>
    <row r="840" spans="1:17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  <c r="O840">
        <f t="shared" si="39"/>
        <v>23087.22</v>
      </c>
      <c r="P840">
        <f t="shared" si="40"/>
        <v>36427.56</v>
      </c>
      <c r="Q840">
        <f t="shared" si="41"/>
        <v>13340.339999999997</v>
      </c>
    </row>
    <row r="841" spans="1:17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  <c r="O841">
        <f t="shared" si="39"/>
        <v>4216.4799999999996</v>
      </c>
      <c r="P841">
        <f t="shared" si="40"/>
        <v>4700.8799999999601</v>
      </c>
      <c r="Q841">
        <f t="shared" si="41"/>
        <v>484.39999999996053</v>
      </c>
    </row>
    <row r="842" spans="1:17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  <c r="O842">
        <f t="shared" si="39"/>
        <v>94841.920000000013</v>
      </c>
      <c r="P842">
        <f t="shared" si="40"/>
        <v>100636.34999999999</v>
      </c>
      <c r="Q842">
        <f t="shared" si="41"/>
        <v>5794.4299999999785</v>
      </c>
    </row>
    <row r="843" spans="1:17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  <c r="O843">
        <f t="shared" si="39"/>
        <v>103730.5</v>
      </c>
      <c r="P843">
        <f t="shared" si="40"/>
        <v>117097</v>
      </c>
      <c r="Q843">
        <f t="shared" si="41"/>
        <v>13366.5</v>
      </c>
    </row>
    <row r="844" spans="1:17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  <c r="O844">
        <f t="shared" si="39"/>
        <v>39314.43</v>
      </c>
      <c r="P844">
        <f t="shared" si="40"/>
        <v>40781.609999999731</v>
      </c>
      <c r="Q844">
        <f t="shared" si="41"/>
        <v>1467.1799999997311</v>
      </c>
    </row>
    <row r="845" spans="1:17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  <c r="O845">
        <f t="shared" si="39"/>
        <v>223836.30000000002</v>
      </c>
      <c r="P845">
        <f t="shared" si="40"/>
        <v>235256.85</v>
      </c>
      <c r="Q845">
        <f t="shared" si="41"/>
        <v>11420.549999999988</v>
      </c>
    </row>
    <row r="846" spans="1:17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  <c r="O846">
        <f t="shared" si="39"/>
        <v>207882.21000000002</v>
      </c>
      <c r="P846">
        <f t="shared" si="40"/>
        <v>213855.34</v>
      </c>
      <c r="Q846">
        <f t="shared" si="41"/>
        <v>5973.1299999999756</v>
      </c>
    </row>
    <row r="847" spans="1:17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  <c r="O847">
        <f t="shared" si="39"/>
        <v>29011.579999999998</v>
      </c>
      <c r="P847">
        <f t="shared" si="40"/>
        <v>33755.929999999869</v>
      </c>
      <c r="Q847">
        <f t="shared" si="41"/>
        <v>4744.3499999998712</v>
      </c>
    </row>
    <row r="848" spans="1:17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  <c r="O848">
        <f t="shared" si="39"/>
        <v>17407</v>
      </c>
      <c r="P848">
        <f t="shared" si="40"/>
        <v>18744.440000000002</v>
      </c>
      <c r="Q848">
        <f t="shared" si="41"/>
        <v>1337.4400000000023</v>
      </c>
    </row>
    <row r="849" spans="1:17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  <c r="O849">
        <f t="shared" si="39"/>
        <v>92401.76</v>
      </c>
      <c r="P849">
        <f t="shared" si="40"/>
        <v>102240.15999999999</v>
      </c>
      <c r="Q849">
        <f t="shared" si="41"/>
        <v>9838.3999999999942</v>
      </c>
    </row>
    <row r="850" spans="1:17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  <c r="O850">
        <f t="shared" si="39"/>
        <v>100584.96000000001</v>
      </c>
      <c r="P850">
        <f t="shared" si="40"/>
        <v>106777.44</v>
      </c>
      <c r="Q850">
        <f t="shared" si="41"/>
        <v>6192.4799999999959</v>
      </c>
    </row>
    <row r="851" spans="1:17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  <c r="O851">
        <f t="shared" si="39"/>
        <v>162166.92000000001</v>
      </c>
      <c r="P851">
        <f t="shared" si="40"/>
        <v>167196.86000000002</v>
      </c>
      <c r="Q851">
        <f t="shared" si="41"/>
        <v>5029.9400000000023</v>
      </c>
    </row>
    <row r="852" spans="1:17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  <c r="O852">
        <f t="shared" si="39"/>
        <v>201190.94999999998</v>
      </c>
      <c r="P852">
        <f t="shared" si="40"/>
        <v>211299.3</v>
      </c>
      <c r="Q852">
        <f t="shared" si="41"/>
        <v>10108.350000000006</v>
      </c>
    </row>
    <row r="853" spans="1:17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  <c r="O853">
        <f t="shared" si="39"/>
        <v>76177.42</v>
      </c>
      <c r="P853">
        <f t="shared" si="40"/>
        <v>80803.58</v>
      </c>
      <c r="Q853">
        <f t="shared" si="41"/>
        <v>4626.1600000000035</v>
      </c>
    </row>
    <row r="854" spans="1:17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  <c r="O854">
        <f t="shared" si="39"/>
        <v>62556.4</v>
      </c>
      <c r="P854">
        <f t="shared" si="40"/>
        <v>72023.710000000006</v>
      </c>
      <c r="Q854">
        <f t="shared" si="41"/>
        <v>9467.3100000000049</v>
      </c>
    </row>
    <row r="855" spans="1:17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  <c r="O855">
        <f t="shared" si="39"/>
        <v>66207.78</v>
      </c>
      <c r="P855">
        <f t="shared" si="40"/>
        <v>71849.449999999808</v>
      </c>
      <c r="Q855">
        <f t="shared" si="41"/>
        <v>5641.6699999998091</v>
      </c>
    </row>
    <row r="856" spans="1:17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  <c r="O856">
        <f t="shared" si="39"/>
        <v>12510.24</v>
      </c>
      <c r="P856">
        <f t="shared" si="40"/>
        <v>14633.279999999921</v>
      </c>
      <c r="Q856">
        <f t="shared" si="41"/>
        <v>2123.0399999999208</v>
      </c>
    </row>
    <row r="857" spans="1:17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  <c r="O857">
        <f t="shared" si="39"/>
        <v>30465.84</v>
      </c>
      <c r="P857">
        <f t="shared" si="40"/>
        <v>31132.959999999999</v>
      </c>
      <c r="Q857">
        <f t="shared" si="41"/>
        <v>667.11999999999898</v>
      </c>
    </row>
    <row r="858" spans="1:17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  <c r="O858">
        <f t="shared" si="39"/>
        <v>130945.5</v>
      </c>
      <c r="P858">
        <f t="shared" si="40"/>
        <v>132714.96</v>
      </c>
      <c r="Q858">
        <f t="shared" si="41"/>
        <v>1769.4599999999919</v>
      </c>
    </row>
    <row r="859" spans="1:17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  <c r="O859">
        <f t="shared" si="39"/>
        <v>11262.94</v>
      </c>
      <c r="P859">
        <f t="shared" si="40"/>
        <v>20815.600000000002</v>
      </c>
      <c r="Q859">
        <f t="shared" si="41"/>
        <v>9552.6600000000017</v>
      </c>
    </row>
    <row r="860" spans="1:17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  <c r="O860">
        <f t="shared" si="39"/>
        <v>124249.92</v>
      </c>
      <c r="P860">
        <f t="shared" si="40"/>
        <v>137894.40000000002</v>
      </c>
      <c r="Q860">
        <f t="shared" si="41"/>
        <v>13644.480000000025</v>
      </c>
    </row>
    <row r="861" spans="1:17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  <c r="O861">
        <f t="shared" si="39"/>
        <v>45482.84</v>
      </c>
      <c r="P861">
        <f t="shared" si="40"/>
        <v>50316.5</v>
      </c>
      <c r="Q861">
        <f t="shared" si="41"/>
        <v>4833.6600000000035</v>
      </c>
    </row>
    <row r="862" spans="1:17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  <c r="O862">
        <f t="shared" si="39"/>
        <v>38557.660000000003</v>
      </c>
      <c r="P862">
        <f t="shared" si="40"/>
        <v>47897.96</v>
      </c>
      <c r="Q862">
        <f t="shared" si="41"/>
        <v>9340.2999999999956</v>
      </c>
    </row>
    <row r="863" spans="1:17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  <c r="O863">
        <f t="shared" si="39"/>
        <v>130340.31</v>
      </c>
      <c r="P863">
        <f t="shared" si="40"/>
        <v>138946.76</v>
      </c>
      <c r="Q863">
        <f t="shared" si="41"/>
        <v>8606.4500000000116</v>
      </c>
    </row>
    <row r="864" spans="1:17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  <c r="O864">
        <f t="shared" si="39"/>
        <v>21391.63</v>
      </c>
      <c r="P864">
        <f t="shared" si="40"/>
        <v>26591.89</v>
      </c>
      <c r="Q864">
        <f t="shared" si="41"/>
        <v>5200.2599999999984</v>
      </c>
    </row>
    <row r="865" spans="1:17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  <c r="O865">
        <f t="shared" si="39"/>
        <v>109077.36</v>
      </c>
      <c r="P865">
        <f t="shared" si="40"/>
        <v>113552.32000000001</v>
      </c>
      <c r="Q865">
        <f t="shared" si="41"/>
        <v>4474.9600000000064</v>
      </c>
    </row>
    <row r="866" spans="1:17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  <c r="O866">
        <f t="shared" si="39"/>
        <v>3603.78</v>
      </c>
      <c r="P866">
        <f t="shared" si="40"/>
        <v>4014.9900000000002</v>
      </c>
      <c r="Q866">
        <f t="shared" si="41"/>
        <v>411.21000000000004</v>
      </c>
    </row>
    <row r="867" spans="1:17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  <c r="O867">
        <f t="shared" si="39"/>
        <v>66378.399999999994</v>
      </c>
      <c r="P867">
        <f t="shared" si="40"/>
        <v>75718.2</v>
      </c>
      <c r="Q867">
        <f t="shared" si="41"/>
        <v>9339.8000000000029</v>
      </c>
    </row>
    <row r="868" spans="1:17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  <c r="O868">
        <f t="shared" si="39"/>
        <v>77054.69</v>
      </c>
      <c r="P868">
        <f t="shared" si="40"/>
        <v>80917.960000000006</v>
      </c>
      <c r="Q868">
        <f t="shared" si="41"/>
        <v>3863.2700000000041</v>
      </c>
    </row>
    <row r="869" spans="1:17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  <c r="O869">
        <f t="shared" si="39"/>
        <v>162264.95999999999</v>
      </c>
      <c r="P869">
        <f t="shared" si="40"/>
        <v>181389.12</v>
      </c>
      <c r="Q869">
        <f t="shared" si="41"/>
        <v>19124.160000000003</v>
      </c>
    </row>
    <row r="870" spans="1:17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  <c r="O870">
        <f t="shared" si="39"/>
        <v>97939.920000000013</v>
      </c>
      <c r="P870">
        <f t="shared" si="40"/>
        <v>103664.34</v>
      </c>
      <c r="Q870">
        <f t="shared" si="41"/>
        <v>5724.4199999999837</v>
      </c>
    </row>
    <row r="871" spans="1:17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  <c r="O871">
        <f t="shared" si="39"/>
        <v>57048.240000000005</v>
      </c>
      <c r="P871">
        <f t="shared" si="40"/>
        <v>60968.88</v>
      </c>
      <c r="Q871">
        <f t="shared" si="41"/>
        <v>3920.6399999999921</v>
      </c>
    </row>
    <row r="872" spans="1:17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  <c r="O872">
        <f t="shared" si="39"/>
        <v>23020.5</v>
      </c>
      <c r="P872">
        <f t="shared" si="40"/>
        <v>29589.3</v>
      </c>
      <c r="Q872">
        <f t="shared" si="41"/>
        <v>6568.7999999999993</v>
      </c>
    </row>
    <row r="873" spans="1:17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  <c r="O873">
        <f t="shared" si="39"/>
        <v>4491.28</v>
      </c>
      <c r="P873">
        <f t="shared" si="40"/>
        <v>5433.99</v>
      </c>
      <c r="Q873">
        <f t="shared" si="41"/>
        <v>942.71</v>
      </c>
    </row>
    <row r="874" spans="1:17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  <c r="O874">
        <f t="shared" si="39"/>
        <v>30636.899999999998</v>
      </c>
      <c r="P874">
        <f t="shared" si="40"/>
        <v>36475.039999999863</v>
      </c>
      <c r="Q874">
        <f t="shared" si="41"/>
        <v>5838.1399999998648</v>
      </c>
    </row>
    <row r="875" spans="1:17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  <c r="O875">
        <f t="shared" si="39"/>
        <v>2347.5099999999998</v>
      </c>
      <c r="P875">
        <f t="shared" si="40"/>
        <v>5536.96</v>
      </c>
      <c r="Q875">
        <f t="shared" si="41"/>
        <v>3189.4500000000003</v>
      </c>
    </row>
    <row r="876" spans="1:17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  <c r="O876">
        <f t="shared" si="39"/>
        <v>124071.73999999999</v>
      </c>
      <c r="P876">
        <f t="shared" si="40"/>
        <v>132070.9</v>
      </c>
      <c r="Q876">
        <f t="shared" si="41"/>
        <v>7999.1600000000035</v>
      </c>
    </row>
    <row r="877" spans="1:17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  <c r="O877">
        <f t="shared" si="39"/>
        <v>45741.78</v>
      </c>
      <c r="P877">
        <f t="shared" si="40"/>
        <v>56928.480000000003</v>
      </c>
      <c r="Q877">
        <f t="shared" si="41"/>
        <v>11186.700000000004</v>
      </c>
    </row>
    <row r="878" spans="1:17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  <c r="O878">
        <f t="shared" si="39"/>
        <v>106790.13</v>
      </c>
      <c r="P878">
        <f t="shared" si="40"/>
        <v>118629.36000000002</v>
      </c>
      <c r="Q878">
        <f t="shared" si="41"/>
        <v>11839.23000000001</v>
      </c>
    </row>
    <row r="879" spans="1:17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  <c r="O879">
        <f t="shared" si="39"/>
        <v>42725.43</v>
      </c>
      <c r="P879">
        <f t="shared" si="40"/>
        <v>43069.509999999995</v>
      </c>
      <c r="Q879">
        <f t="shared" si="41"/>
        <v>344.07999999999447</v>
      </c>
    </row>
    <row r="880" spans="1:17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  <c r="O880">
        <f t="shared" si="39"/>
        <v>42854.879999999997</v>
      </c>
      <c r="P880">
        <f t="shared" si="40"/>
        <v>48095.08</v>
      </c>
      <c r="Q880">
        <f t="shared" si="41"/>
        <v>5240.2000000000044</v>
      </c>
    </row>
    <row r="881" spans="1:17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  <c r="O881">
        <f t="shared" si="39"/>
        <v>106252.38</v>
      </c>
      <c r="P881">
        <f t="shared" si="40"/>
        <v>121182.46</v>
      </c>
      <c r="Q881">
        <f t="shared" si="41"/>
        <v>14930.080000000002</v>
      </c>
    </row>
    <row r="882" spans="1:17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  <c r="O882">
        <f t="shared" si="39"/>
        <v>12383.57</v>
      </c>
      <c r="P882">
        <f t="shared" si="40"/>
        <v>28665.52</v>
      </c>
      <c r="Q882">
        <f t="shared" si="41"/>
        <v>16281.95</v>
      </c>
    </row>
    <row r="883" spans="1:17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  <c r="O883">
        <f t="shared" si="39"/>
        <v>46430.11</v>
      </c>
      <c r="P883">
        <f t="shared" si="40"/>
        <v>46784.460000000006</v>
      </c>
      <c r="Q883">
        <f t="shared" si="41"/>
        <v>354.35000000000582</v>
      </c>
    </row>
    <row r="884" spans="1:17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  <c r="O884">
        <f t="shared" si="39"/>
        <v>735</v>
      </c>
      <c r="P884">
        <f t="shared" si="40"/>
        <v>2314.98</v>
      </c>
      <c r="Q884">
        <f t="shared" si="41"/>
        <v>1579.98</v>
      </c>
    </row>
    <row r="885" spans="1:17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  <c r="O885">
        <f t="shared" si="39"/>
        <v>212044.36</v>
      </c>
      <c r="P885">
        <f t="shared" si="40"/>
        <v>224440.9</v>
      </c>
      <c r="Q885">
        <f t="shared" si="41"/>
        <v>12396.540000000008</v>
      </c>
    </row>
    <row r="886" spans="1:17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  <c r="O886">
        <f t="shared" si="39"/>
        <v>185501.94</v>
      </c>
      <c r="P886">
        <f t="shared" si="40"/>
        <v>193346.28000000003</v>
      </c>
      <c r="Q886">
        <f t="shared" si="41"/>
        <v>7844.3400000000256</v>
      </c>
    </row>
    <row r="887" spans="1:17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  <c r="O887">
        <f t="shared" si="39"/>
        <v>56364.7</v>
      </c>
      <c r="P887">
        <f t="shared" si="40"/>
        <v>63994.979999999996</v>
      </c>
      <c r="Q887">
        <f t="shared" si="41"/>
        <v>7630.2799999999988</v>
      </c>
    </row>
    <row r="888" spans="1:17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  <c r="O888">
        <f t="shared" si="39"/>
        <v>45365.039999999994</v>
      </c>
      <c r="P888">
        <f t="shared" si="40"/>
        <v>59815.139999999585</v>
      </c>
      <c r="Q888">
        <f t="shared" si="41"/>
        <v>14450.099999999591</v>
      </c>
    </row>
    <row r="889" spans="1:17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  <c r="O889">
        <f t="shared" si="39"/>
        <v>105865.48</v>
      </c>
      <c r="P889">
        <f t="shared" si="40"/>
        <v>108996.44</v>
      </c>
      <c r="Q889">
        <f t="shared" si="41"/>
        <v>3130.9600000000064</v>
      </c>
    </row>
    <row r="890" spans="1:17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  <c r="O890">
        <f t="shared" si="39"/>
        <v>1304.23</v>
      </c>
      <c r="P890">
        <f t="shared" si="40"/>
        <v>1705.71</v>
      </c>
      <c r="Q890">
        <f t="shared" si="41"/>
        <v>401.48</v>
      </c>
    </row>
    <row r="891" spans="1:17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  <c r="O891">
        <f t="shared" si="39"/>
        <v>156822.05000000002</v>
      </c>
      <c r="P891">
        <f t="shared" si="40"/>
        <v>170944.19999999998</v>
      </c>
      <c r="Q891">
        <f t="shared" si="41"/>
        <v>14122.149999999965</v>
      </c>
    </row>
    <row r="892" spans="1:17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  <c r="O892">
        <f t="shared" si="39"/>
        <v>115638</v>
      </c>
      <c r="P892">
        <f t="shared" si="40"/>
        <v>124177.2</v>
      </c>
      <c r="Q892">
        <f t="shared" si="41"/>
        <v>8539.1999999999971</v>
      </c>
    </row>
    <row r="893" spans="1:17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  <c r="O893">
        <f t="shared" si="39"/>
        <v>14290.8</v>
      </c>
      <c r="P893">
        <f t="shared" si="40"/>
        <v>15482.32</v>
      </c>
      <c r="Q893">
        <f t="shared" si="41"/>
        <v>1191.5200000000004</v>
      </c>
    </row>
    <row r="894" spans="1:17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  <c r="O894">
        <f t="shared" si="39"/>
        <v>196076.01</v>
      </c>
      <c r="P894">
        <f t="shared" si="40"/>
        <v>203083.71000000002</v>
      </c>
      <c r="Q894">
        <f t="shared" si="41"/>
        <v>7007.7000000000116</v>
      </c>
    </row>
    <row r="895" spans="1:17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  <c r="O895">
        <f t="shared" si="39"/>
        <v>17446.52</v>
      </c>
      <c r="P895">
        <f t="shared" si="40"/>
        <v>19170.759999999998</v>
      </c>
      <c r="Q895">
        <f t="shared" si="41"/>
        <v>1724.239999999998</v>
      </c>
    </row>
    <row r="896" spans="1:17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  <c r="O896">
        <f t="shared" si="39"/>
        <v>50188.38</v>
      </c>
      <c r="P896">
        <f t="shared" si="40"/>
        <v>54176.87</v>
      </c>
      <c r="Q896">
        <f t="shared" si="41"/>
        <v>3988.4900000000052</v>
      </c>
    </row>
    <row r="897" spans="1:17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  <c r="O897">
        <f t="shared" si="39"/>
        <v>181103.13</v>
      </c>
      <c r="P897">
        <f t="shared" si="40"/>
        <v>188351.28000000003</v>
      </c>
      <c r="Q897">
        <f t="shared" si="41"/>
        <v>7248.1500000000233</v>
      </c>
    </row>
    <row r="898" spans="1:17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  <c r="O898">
        <f t="shared" si="39"/>
        <v>3475.32</v>
      </c>
      <c r="P898">
        <f t="shared" si="40"/>
        <v>4711</v>
      </c>
      <c r="Q898">
        <f t="shared" si="41"/>
        <v>1235.6799999999998</v>
      </c>
    </row>
    <row r="899" spans="1:17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  <c r="O899">
        <f t="shared" ref="O899:O962" si="42">H899*F899</f>
        <v>1537.5</v>
      </c>
      <c r="P899">
        <f t="shared" ref="P899:P962" si="43">I899*F899</f>
        <v>6472.9999999999745</v>
      </c>
      <c r="Q899">
        <f t="shared" ref="Q899:Q962" si="44">P899-O899</f>
        <v>4935.4999999999745</v>
      </c>
    </row>
    <row r="900" spans="1:17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  <c r="O900">
        <f t="shared" si="42"/>
        <v>59045.520000000004</v>
      </c>
      <c r="P900">
        <f t="shared" si="43"/>
        <v>60956.160000000003</v>
      </c>
      <c r="Q900">
        <f t="shared" si="44"/>
        <v>1910.6399999999994</v>
      </c>
    </row>
    <row r="901" spans="1:17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  <c r="O901">
        <f t="shared" si="42"/>
        <v>117919.88</v>
      </c>
      <c r="P901">
        <f t="shared" si="43"/>
        <v>118496.56000000001</v>
      </c>
      <c r="Q901">
        <f t="shared" si="44"/>
        <v>576.68000000000757</v>
      </c>
    </row>
    <row r="902" spans="1:17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  <c r="O902">
        <f t="shared" si="42"/>
        <v>12329.1</v>
      </c>
      <c r="P902">
        <f t="shared" si="43"/>
        <v>12782.06</v>
      </c>
      <c r="Q902">
        <f t="shared" si="44"/>
        <v>452.95999999999913</v>
      </c>
    </row>
    <row r="903" spans="1:17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  <c r="O903">
        <f t="shared" si="42"/>
        <v>191981.92</v>
      </c>
      <c r="P903">
        <f t="shared" si="43"/>
        <v>197563.1</v>
      </c>
      <c r="Q903">
        <f t="shared" si="44"/>
        <v>5581.179999999993</v>
      </c>
    </row>
    <row r="904" spans="1:17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  <c r="O904">
        <f t="shared" si="42"/>
        <v>27793.56</v>
      </c>
      <c r="P904">
        <f t="shared" si="43"/>
        <v>30303.239999999998</v>
      </c>
      <c r="Q904">
        <f t="shared" si="44"/>
        <v>2509.6799999999967</v>
      </c>
    </row>
    <row r="905" spans="1:17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  <c r="O905">
        <f t="shared" si="42"/>
        <v>57269.979999999996</v>
      </c>
      <c r="P905">
        <f t="shared" si="43"/>
        <v>75636.14</v>
      </c>
      <c r="Q905">
        <f t="shared" si="44"/>
        <v>18366.160000000003</v>
      </c>
    </row>
    <row r="906" spans="1:17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  <c r="O906">
        <f t="shared" si="42"/>
        <v>162792.6</v>
      </c>
      <c r="P906">
        <f t="shared" si="43"/>
        <v>177639.22</v>
      </c>
      <c r="Q906">
        <f t="shared" si="44"/>
        <v>14846.619999999995</v>
      </c>
    </row>
    <row r="907" spans="1:17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  <c r="O907">
        <f t="shared" si="42"/>
        <v>47081</v>
      </c>
      <c r="P907">
        <f t="shared" si="43"/>
        <v>53562.86</v>
      </c>
      <c r="Q907">
        <f t="shared" si="44"/>
        <v>6481.8600000000006</v>
      </c>
    </row>
    <row r="908" spans="1:17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  <c r="O908">
        <f t="shared" si="42"/>
        <v>113739.12</v>
      </c>
      <c r="P908">
        <f t="shared" si="43"/>
        <v>116854.79999999999</v>
      </c>
      <c r="Q908">
        <f t="shared" si="44"/>
        <v>3115.679999999993</v>
      </c>
    </row>
    <row r="909" spans="1:17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  <c r="O909">
        <f t="shared" si="42"/>
        <v>17085.28</v>
      </c>
      <c r="P909">
        <f t="shared" si="43"/>
        <v>19027.52</v>
      </c>
      <c r="Q909">
        <f t="shared" si="44"/>
        <v>1942.2400000000016</v>
      </c>
    </row>
    <row r="910" spans="1:17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  <c r="O910">
        <f t="shared" si="42"/>
        <v>40140.49</v>
      </c>
      <c r="P910">
        <f t="shared" si="43"/>
        <v>42431.48</v>
      </c>
      <c r="Q910">
        <f t="shared" si="44"/>
        <v>2290.9900000000052</v>
      </c>
    </row>
    <row r="911" spans="1:17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  <c r="O911">
        <f t="shared" si="42"/>
        <v>28857</v>
      </c>
      <c r="P911">
        <f t="shared" si="43"/>
        <v>35210</v>
      </c>
      <c r="Q911">
        <f t="shared" si="44"/>
        <v>6353</v>
      </c>
    </row>
    <row r="912" spans="1:17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  <c r="O912">
        <f t="shared" si="42"/>
        <v>11004.24</v>
      </c>
      <c r="P912">
        <f t="shared" si="43"/>
        <v>11904.039999999961</v>
      </c>
      <c r="Q912">
        <f t="shared" si="44"/>
        <v>899.79999999996107</v>
      </c>
    </row>
    <row r="913" spans="1:17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  <c r="O913">
        <f t="shared" si="42"/>
        <v>37792.479999999996</v>
      </c>
      <c r="P913">
        <f t="shared" si="43"/>
        <v>39078.929999999891</v>
      </c>
      <c r="Q913">
        <f t="shared" si="44"/>
        <v>1286.4499999998952</v>
      </c>
    </row>
    <row r="914" spans="1:17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  <c r="O914">
        <f t="shared" si="42"/>
        <v>31732.16</v>
      </c>
      <c r="P914">
        <f t="shared" si="43"/>
        <v>34097.599999999999</v>
      </c>
      <c r="Q914">
        <f t="shared" si="44"/>
        <v>2365.4399999999987</v>
      </c>
    </row>
    <row r="915" spans="1:17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  <c r="O915">
        <f t="shared" si="42"/>
        <v>128790.62000000001</v>
      </c>
      <c r="P915">
        <f t="shared" si="43"/>
        <v>129582.45999999999</v>
      </c>
      <c r="Q915">
        <f t="shared" si="44"/>
        <v>791.83999999998196</v>
      </c>
    </row>
    <row r="916" spans="1:17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  <c r="O916">
        <f t="shared" si="42"/>
        <v>16602.95</v>
      </c>
      <c r="P916">
        <f t="shared" si="43"/>
        <v>17201.03</v>
      </c>
      <c r="Q916">
        <f t="shared" si="44"/>
        <v>598.07999999999811</v>
      </c>
    </row>
    <row r="917" spans="1:17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  <c r="O917">
        <f t="shared" si="42"/>
        <v>18475.439999999999</v>
      </c>
      <c r="P917">
        <f t="shared" si="43"/>
        <v>34833.96</v>
      </c>
      <c r="Q917">
        <f t="shared" si="44"/>
        <v>16358.52</v>
      </c>
    </row>
    <row r="918" spans="1:17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  <c r="O918">
        <f t="shared" si="42"/>
        <v>45106.82</v>
      </c>
      <c r="P918">
        <f t="shared" si="43"/>
        <v>46530</v>
      </c>
      <c r="Q918">
        <f t="shared" si="44"/>
        <v>1423.1800000000003</v>
      </c>
    </row>
    <row r="919" spans="1:17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  <c r="O919">
        <f t="shared" si="42"/>
        <v>47925.64</v>
      </c>
      <c r="P919">
        <f t="shared" si="43"/>
        <v>54634.720000000001</v>
      </c>
      <c r="Q919">
        <f t="shared" si="44"/>
        <v>6709.0800000000017</v>
      </c>
    </row>
    <row r="920" spans="1:17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  <c r="O920">
        <f t="shared" si="42"/>
        <v>118661.37999999999</v>
      </c>
      <c r="P920">
        <f t="shared" si="43"/>
        <v>130950.72</v>
      </c>
      <c r="Q920">
        <f t="shared" si="44"/>
        <v>12289.340000000011</v>
      </c>
    </row>
    <row r="921" spans="1:17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  <c r="O921">
        <f t="shared" si="42"/>
        <v>59758.14</v>
      </c>
      <c r="P921">
        <f t="shared" si="43"/>
        <v>69982.789999999994</v>
      </c>
      <c r="Q921">
        <f t="shared" si="44"/>
        <v>10224.649999999994</v>
      </c>
    </row>
    <row r="922" spans="1:17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  <c r="O922">
        <f t="shared" si="42"/>
        <v>116578.79999999999</v>
      </c>
      <c r="P922">
        <f t="shared" si="43"/>
        <v>136628.1</v>
      </c>
      <c r="Q922">
        <f t="shared" si="44"/>
        <v>20049.300000000017</v>
      </c>
    </row>
    <row r="923" spans="1:17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  <c r="O923">
        <f t="shared" si="42"/>
        <v>13357.25</v>
      </c>
      <c r="P923">
        <f t="shared" si="43"/>
        <v>21991.68</v>
      </c>
      <c r="Q923">
        <f t="shared" si="44"/>
        <v>8634.43</v>
      </c>
    </row>
    <row r="924" spans="1:17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  <c r="O924">
        <f t="shared" si="42"/>
        <v>60094.719999999994</v>
      </c>
      <c r="P924">
        <f t="shared" si="43"/>
        <v>60857.159999999996</v>
      </c>
      <c r="Q924">
        <f t="shared" si="44"/>
        <v>762.44000000000233</v>
      </c>
    </row>
    <row r="925" spans="1:17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  <c r="O925">
        <f t="shared" si="42"/>
        <v>98436.459999999992</v>
      </c>
      <c r="P925">
        <f t="shared" si="43"/>
        <v>110983</v>
      </c>
      <c r="Q925">
        <f t="shared" si="44"/>
        <v>12546.540000000008</v>
      </c>
    </row>
    <row r="926" spans="1:17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  <c r="O926">
        <f t="shared" si="42"/>
        <v>173031.91</v>
      </c>
      <c r="P926">
        <f t="shared" si="43"/>
        <v>191617.12</v>
      </c>
      <c r="Q926">
        <f t="shared" si="44"/>
        <v>18585.209999999992</v>
      </c>
    </row>
    <row r="927" spans="1:17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  <c r="O927">
        <f t="shared" si="42"/>
        <v>109410.34</v>
      </c>
      <c r="P927">
        <f t="shared" si="43"/>
        <v>109890.56000000001</v>
      </c>
      <c r="Q927">
        <f t="shared" si="44"/>
        <v>480.22000000001572</v>
      </c>
    </row>
    <row r="928" spans="1:17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  <c r="O928">
        <f t="shared" si="42"/>
        <v>68691.5</v>
      </c>
      <c r="P928">
        <f t="shared" si="43"/>
        <v>75675.249999999753</v>
      </c>
      <c r="Q928">
        <f t="shared" si="44"/>
        <v>6983.7499999997526</v>
      </c>
    </row>
    <row r="929" spans="1:17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  <c r="O929">
        <f t="shared" si="42"/>
        <v>13907.82</v>
      </c>
      <c r="P929">
        <f t="shared" si="43"/>
        <v>26386.52</v>
      </c>
      <c r="Q929">
        <f t="shared" si="44"/>
        <v>12478.7</v>
      </c>
    </row>
    <row r="930" spans="1:17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  <c r="O930">
        <f t="shared" si="42"/>
        <v>23225.600000000002</v>
      </c>
      <c r="P930">
        <f t="shared" si="43"/>
        <v>27829.49</v>
      </c>
      <c r="Q930">
        <f t="shared" si="44"/>
        <v>4603.8899999999994</v>
      </c>
    </row>
    <row r="931" spans="1:17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  <c r="O931">
        <f t="shared" si="42"/>
        <v>28591.859999999997</v>
      </c>
      <c r="P931">
        <f t="shared" si="43"/>
        <v>28988.19</v>
      </c>
      <c r="Q931">
        <f t="shared" si="44"/>
        <v>396.33000000000175</v>
      </c>
    </row>
    <row r="932" spans="1:17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  <c r="O932">
        <f t="shared" si="42"/>
        <v>24006.240000000002</v>
      </c>
      <c r="P932">
        <f t="shared" si="43"/>
        <v>24560.639999999999</v>
      </c>
      <c r="Q932">
        <f t="shared" si="44"/>
        <v>554.39999999999782</v>
      </c>
    </row>
    <row r="933" spans="1:17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  <c r="O933">
        <f t="shared" si="42"/>
        <v>26056.799999999999</v>
      </c>
      <c r="P933">
        <f t="shared" si="43"/>
        <v>29054.899999999998</v>
      </c>
      <c r="Q933">
        <f t="shared" si="44"/>
        <v>2998.0999999999985</v>
      </c>
    </row>
    <row r="934" spans="1:17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  <c r="O934">
        <f t="shared" si="42"/>
        <v>16597</v>
      </c>
      <c r="P934">
        <f t="shared" si="43"/>
        <v>17800.3</v>
      </c>
      <c r="Q934">
        <f t="shared" si="44"/>
        <v>1203.2999999999993</v>
      </c>
    </row>
    <row r="935" spans="1:17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  <c r="O935">
        <f t="shared" si="42"/>
        <v>39571</v>
      </c>
      <c r="P935">
        <f t="shared" si="43"/>
        <v>51316.299999999654</v>
      </c>
      <c r="Q935">
        <f t="shared" si="44"/>
        <v>11745.299999999654</v>
      </c>
    </row>
    <row r="936" spans="1:17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  <c r="O936">
        <f t="shared" si="42"/>
        <v>9621.9000000000015</v>
      </c>
      <c r="P936">
        <f t="shared" si="43"/>
        <v>20341.199999999997</v>
      </c>
      <c r="Q936">
        <f t="shared" si="44"/>
        <v>10719.299999999996</v>
      </c>
    </row>
    <row r="937" spans="1:17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  <c r="O937">
        <f t="shared" si="42"/>
        <v>3849.16</v>
      </c>
      <c r="P937">
        <f t="shared" si="43"/>
        <v>6569.6399999999994</v>
      </c>
      <c r="Q937">
        <f t="shared" si="44"/>
        <v>2720.4799999999996</v>
      </c>
    </row>
    <row r="938" spans="1:17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  <c r="O938">
        <f t="shared" si="42"/>
        <v>9497.9000000000015</v>
      </c>
      <c r="P938">
        <f t="shared" si="43"/>
        <v>17069.36</v>
      </c>
      <c r="Q938">
        <f t="shared" si="44"/>
        <v>7571.4599999999991</v>
      </c>
    </row>
    <row r="939" spans="1:17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  <c r="O939">
        <f t="shared" si="42"/>
        <v>2707.14</v>
      </c>
      <c r="P939">
        <f t="shared" si="43"/>
        <v>3386.7300000000005</v>
      </c>
      <c r="Q939">
        <f t="shared" si="44"/>
        <v>679.5900000000006</v>
      </c>
    </row>
    <row r="940" spans="1:17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  <c r="O940">
        <f t="shared" si="42"/>
        <v>34933.919999999998</v>
      </c>
      <c r="P940">
        <f t="shared" si="43"/>
        <v>36213.759999999842</v>
      </c>
      <c r="Q940">
        <f t="shared" si="44"/>
        <v>1279.8399999998437</v>
      </c>
    </row>
    <row r="941" spans="1:17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  <c r="O941">
        <f t="shared" si="42"/>
        <v>118545.68</v>
      </c>
      <c r="P941">
        <f t="shared" si="43"/>
        <v>136231.76</v>
      </c>
      <c r="Q941">
        <f t="shared" si="44"/>
        <v>17686.080000000016</v>
      </c>
    </row>
    <row r="942" spans="1:17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  <c r="O942">
        <f t="shared" si="42"/>
        <v>22377.899999999998</v>
      </c>
      <c r="P942">
        <f t="shared" si="43"/>
        <v>34290.6</v>
      </c>
      <c r="Q942">
        <f t="shared" si="44"/>
        <v>11912.7</v>
      </c>
    </row>
    <row r="943" spans="1:17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  <c r="O943">
        <f t="shared" si="42"/>
        <v>62427.719999999994</v>
      </c>
      <c r="P943">
        <f t="shared" si="43"/>
        <v>71801.97</v>
      </c>
      <c r="Q943">
        <f t="shared" si="44"/>
        <v>9374.2500000000073</v>
      </c>
    </row>
    <row r="944" spans="1:17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  <c r="O944">
        <f t="shared" si="42"/>
        <v>78374.7</v>
      </c>
      <c r="P944">
        <f t="shared" si="43"/>
        <v>97643.700000000012</v>
      </c>
      <c r="Q944">
        <f t="shared" si="44"/>
        <v>19269.000000000015</v>
      </c>
    </row>
    <row r="945" spans="1:17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  <c r="O945">
        <f t="shared" si="42"/>
        <v>14369.25</v>
      </c>
      <c r="P945">
        <f t="shared" si="43"/>
        <v>19938.900000000001</v>
      </c>
      <c r="Q945">
        <f t="shared" si="44"/>
        <v>5569.6500000000015</v>
      </c>
    </row>
    <row r="946" spans="1:17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  <c r="O946">
        <f t="shared" si="42"/>
        <v>3857.56</v>
      </c>
      <c r="P946">
        <f t="shared" si="43"/>
        <v>24202.44</v>
      </c>
      <c r="Q946">
        <f t="shared" si="44"/>
        <v>20344.879999999997</v>
      </c>
    </row>
    <row r="947" spans="1:17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  <c r="O947">
        <f t="shared" si="42"/>
        <v>59043.499999999993</v>
      </c>
      <c r="P947">
        <f t="shared" si="43"/>
        <v>64608.75</v>
      </c>
      <c r="Q947">
        <f t="shared" si="44"/>
        <v>5565.2500000000073</v>
      </c>
    </row>
    <row r="948" spans="1:17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  <c r="O948">
        <f t="shared" si="42"/>
        <v>130871.24</v>
      </c>
      <c r="P948">
        <f t="shared" si="43"/>
        <v>145171.4</v>
      </c>
      <c r="Q948">
        <f t="shared" si="44"/>
        <v>14300.159999999989</v>
      </c>
    </row>
    <row r="949" spans="1:17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  <c r="O949">
        <f t="shared" si="42"/>
        <v>49142.939999999995</v>
      </c>
      <c r="P949">
        <f t="shared" si="43"/>
        <v>70137.899999999587</v>
      </c>
      <c r="Q949">
        <f t="shared" si="44"/>
        <v>20994.959999999592</v>
      </c>
    </row>
    <row r="950" spans="1:17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  <c r="O950">
        <f t="shared" si="42"/>
        <v>33014.68</v>
      </c>
      <c r="P950">
        <f t="shared" si="43"/>
        <v>50180.020000000004</v>
      </c>
      <c r="Q950">
        <f t="shared" si="44"/>
        <v>17165.340000000004</v>
      </c>
    </row>
    <row r="951" spans="1:17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  <c r="O951">
        <f t="shared" si="42"/>
        <v>168752.68</v>
      </c>
      <c r="P951">
        <f t="shared" si="43"/>
        <v>171258.77999999962</v>
      </c>
      <c r="Q951">
        <f t="shared" si="44"/>
        <v>2506.0999999996275</v>
      </c>
    </row>
    <row r="952" spans="1:17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  <c r="O952">
        <f t="shared" si="42"/>
        <v>32461.51</v>
      </c>
      <c r="P952">
        <f t="shared" si="43"/>
        <v>38533.049999999996</v>
      </c>
      <c r="Q952">
        <f t="shared" si="44"/>
        <v>6071.5399999999972</v>
      </c>
    </row>
    <row r="953" spans="1:17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  <c r="O953">
        <f t="shared" si="42"/>
        <v>28922.000000000004</v>
      </c>
      <c r="P953">
        <f t="shared" si="43"/>
        <v>36367</v>
      </c>
      <c r="Q953">
        <f t="shared" si="44"/>
        <v>7444.9999999999964</v>
      </c>
    </row>
    <row r="954" spans="1:17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  <c r="O954">
        <f t="shared" si="42"/>
        <v>180290.46</v>
      </c>
      <c r="P954">
        <f t="shared" si="43"/>
        <v>184295.58</v>
      </c>
      <c r="Q954">
        <f t="shared" si="44"/>
        <v>4005.1199999999953</v>
      </c>
    </row>
    <row r="955" spans="1:17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  <c r="O955">
        <f t="shared" si="42"/>
        <v>28662.76</v>
      </c>
      <c r="P955">
        <f t="shared" si="43"/>
        <v>32035.5</v>
      </c>
      <c r="Q955">
        <f t="shared" si="44"/>
        <v>3372.7400000000016</v>
      </c>
    </row>
    <row r="956" spans="1:17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  <c r="O956">
        <f t="shared" si="42"/>
        <v>49925.04</v>
      </c>
      <c r="P956">
        <f t="shared" si="43"/>
        <v>52037.7</v>
      </c>
      <c r="Q956">
        <f t="shared" si="44"/>
        <v>2112.6599999999962</v>
      </c>
    </row>
    <row r="957" spans="1:17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  <c r="O957">
        <f t="shared" si="42"/>
        <v>42019.41</v>
      </c>
      <c r="P957">
        <f t="shared" si="43"/>
        <v>43668.41</v>
      </c>
      <c r="Q957">
        <f t="shared" si="44"/>
        <v>1649</v>
      </c>
    </row>
    <row r="958" spans="1:17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  <c r="O958">
        <f t="shared" si="42"/>
        <v>20301.48</v>
      </c>
      <c r="P958">
        <f t="shared" si="43"/>
        <v>28553.22</v>
      </c>
      <c r="Q958">
        <f t="shared" si="44"/>
        <v>8251.7400000000016</v>
      </c>
    </row>
    <row r="959" spans="1:17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  <c r="O959">
        <f t="shared" si="42"/>
        <v>21441.91</v>
      </c>
      <c r="P959">
        <f t="shared" si="43"/>
        <v>33101.46</v>
      </c>
      <c r="Q959">
        <f t="shared" si="44"/>
        <v>11659.55</v>
      </c>
    </row>
    <row r="960" spans="1:17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  <c r="O960">
        <f t="shared" si="42"/>
        <v>118428.09</v>
      </c>
      <c r="P960">
        <f t="shared" si="43"/>
        <v>120107.45</v>
      </c>
      <c r="Q960">
        <f t="shared" si="44"/>
        <v>1679.3600000000006</v>
      </c>
    </row>
    <row r="961" spans="1:17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  <c r="O961">
        <f t="shared" si="42"/>
        <v>5368.0999999999995</v>
      </c>
      <c r="P961">
        <f t="shared" si="43"/>
        <v>8399.1999999999989</v>
      </c>
      <c r="Q961">
        <f t="shared" si="44"/>
        <v>3031.0999999999995</v>
      </c>
    </row>
    <row r="962" spans="1:17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  <c r="O962">
        <f t="shared" si="42"/>
        <v>22739.1</v>
      </c>
      <c r="P962">
        <f t="shared" si="43"/>
        <v>25787.999999999902</v>
      </c>
      <c r="Q962">
        <f t="shared" si="44"/>
        <v>3048.8999999999032</v>
      </c>
    </row>
    <row r="963" spans="1:17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  <c r="O963">
        <f t="shared" ref="O963:O1001" si="45">H963*F963</f>
        <v>32938.22</v>
      </c>
      <c r="P963">
        <f t="shared" ref="P963:P1001" si="46">I963*F963</f>
        <v>33229.49</v>
      </c>
      <c r="Q963">
        <f t="shared" ref="Q963:Q1001" si="47">P963-O963</f>
        <v>291.2699999999968</v>
      </c>
    </row>
    <row r="964" spans="1:17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  <c r="O964">
        <f t="shared" si="45"/>
        <v>228793.44</v>
      </c>
      <c r="P964">
        <f t="shared" si="46"/>
        <v>252147.36</v>
      </c>
      <c r="Q964">
        <f t="shared" si="47"/>
        <v>23353.919999999984</v>
      </c>
    </row>
    <row r="965" spans="1:17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  <c r="O965">
        <f t="shared" si="45"/>
        <v>46918.22</v>
      </c>
      <c r="P965">
        <f t="shared" si="46"/>
        <v>57427.88</v>
      </c>
      <c r="Q965">
        <f t="shared" si="47"/>
        <v>10509.659999999996</v>
      </c>
    </row>
    <row r="966" spans="1:17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  <c r="O966">
        <f t="shared" si="45"/>
        <v>84762.72</v>
      </c>
      <c r="P966">
        <f t="shared" si="46"/>
        <v>92438.819999999992</v>
      </c>
      <c r="Q966">
        <f t="shared" si="47"/>
        <v>7676.0999999999913</v>
      </c>
    </row>
    <row r="967" spans="1:17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  <c r="O967">
        <f t="shared" si="45"/>
        <v>79090.439999999988</v>
      </c>
      <c r="P967">
        <f t="shared" si="46"/>
        <v>87830.819999999992</v>
      </c>
      <c r="Q967">
        <f t="shared" si="47"/>
        <v>8740.3800000000047</v>
      </c>
    </row>
    <row r="968" spans="1:17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  <c r="O968">
        <f t="shared" si="45"/>
        <v>4384.6400000000003</v>
      </c>
      <c r="P968">
        <f t="shared" si="46"/>
        <v>4693.8999999999996</v>
      </c>
      <c r="Q968">
        <f t="shared" si="47"/>
        <v>309.25999999999931</v>
      </c>
    </row>
    <row r="969" spans="1:17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  <c r="O969">
        <f t="shared" si="45"/>
        <v>61317.52</v>
      </c>
      <c r="P969">
        <f t="shared" si="46"/>
        <v>67455.959999999992</v>
      </c>
      <c r="Q969">
        <f t="shared" si="47"/>
        <v>6138.4399999999951</v>
      </c>
    </row>
    <row r="970" spans="1:17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  <c r="O970">
        <f t="shared" si="45"/>
        <v>2323.2199999999998</v>
      </c>
      <c r="P970">
        <f t="shared" si="46"/>
        <v>7448.7199999999657</v>
      </c>
      <c r="Q970">
        <f t="shared" si="47"/>
        <v>5125.4999999999654</v>
      </c>
    </row>
    <row r="971" spans="1:17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  <c r="O971">
        <f t="shared" si="45"/>
        <v>3418.72</v>
      </c>
      <c r="P971">
        <f t="shared" si="46"/>
        <v>4460.96</v>
      </c>
      <c r="Q971">
        <f t="shared" si="47"/>
        <v>1042.2400000000002</v>
      </c>
    </row>
    <row r="972" spans="1:17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  <c r="O972">
        <f t="shared" si="45"/>
        <v>30262.38</v>
      </c>
      <c r="P972">
        <f t="shared" si="46"/>
        <v>37152.14</v>
      </c>
      <c r="Q972">
        <f t="shared" si="47"/>
        <v>6889.7599999999984</v>
      </c>
    </row>
    <row r="973" spans="1:17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  <c r="O973">
        <f t="shared" si="45"/>
        <v>6451.28</v>
      </c>
      <c r="P973">
        <f t="shared" si="46"/>
        <v>6589</v>
      </c>
      <c r="Q973">
        <f t="shared" si="47"/>
        <v>137.72000000000025</v>
      </c>
    </row>
    <row r="974" spans="1:17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  <c r="O974">
        <f t="shared" si="45"/>
        <v>170591.75</v>
      </c>
      <c r="P974">
        <f t="shared" si="46"/>
        <v>183735.56</v>
      </c>
      <c r="Q974">
        <f t="shared" si="47"/>
        <v>13143.809999999998</v>
      </c>
    </row>
    <row r="975" spans="1:17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  <c r="O975">
        <f t="shared" si="45"/>
        <v>88888.28</v>
      </c>
      <c r="P975">
        <f t="shared" si="46"/>
        <v>99426.599999999991</v>
      </c>
      <c r="Q975">
        <f t="shared" si="47"/>
        <v>10538.319999999992</v>
      </c>
    </row>
    <row r="976" spans="1:17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  <c r="O976">
        <f t="shared" si="45"/>
        <v>6131.2</v>
      </c>
      <c r="P976">
        <f t="shared" si="46"/>
        <v>6478.76</v>
      </c>
      <c r="Q976">
        <f t="shared" si="47"/>
        <v>347.5600000000004</v>
      </c>
    </row>
    <row r="977" spans="1:17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  <c r="O977">
        <f t="shared" si="45"/>
        <v>2315.83</v>
      </c>
      <c r="P977">
        <f t="shared" si="46"/>
        <v>2333.19</v>
      </c>
      <c r="Q977">
        <f t="shared" si="47"/>
        <v>17.360000000000127</v>
      </c>
    </row>
    <row r="978" spans="1:17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  <c r="O978">
        <f t="shared" si="45"/>
        <v>3661.14</v>
      </c>
      <c r="P978">
        <f t="shared" si="46"/>
        <v>4803.75</v>
      </c>
      <c r="Q978">
        <f t="shared" si="47"/>
        <v>1142.6100000000001</v>
      </c>
    </row>
    <row r="979" spans="1:17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  <c r="O979">
        <f t="shared" si="45"/>
        <v>134874.59999999998</v>
      </c>
      <c r="P979">
        <f t="shared" si="46"/>
        <v>143820.2999999997</v>
      </c>
      <c r="Q979">
        <f t="shared" si="47"/>
        <v>8945.6999999997206</v>
      </c>
    </row>
    <row r="980" spans="1:17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  <c r="O980">
        <f>H980*F980</f>
        <v>42123.15</v>
      </c>
      <c r="P980">
        <f t="shared" si="46"/>
        <v>42822.99</v>
      </c>
      <c r="Q980">
        <f t="shared" si="47"/>
        <v>699.83999999999651</v>
      </c>
    </row>
    <row r="981" spans="1:17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  <c r="O981">
        <f t="shared" si="45"/>
        <v>171501.05</v>
      </c>
      <c r="P981">
        <f t="shared" si="46"/>
        <v>179159.05</v>
      </c>
      <c r="Q981">
        <f t="shared" si="47"/>
        <v>7658</v>
      </c>
    </row>
    <row r="982" spans="1:17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  <c r="O982">
        <f t="shared" si="45"/>
        <v>34794.720000000001</v>
      </c>
      <c r="P982">
        <f t="shared" si="46"/>
        <v>37039.839999999997</v>
      </c>
      <c r="Q982">
        <f t="shared" si="47"/>
        <v>2245.1199999999953</v>
      </c>
    </row>
    <row r="983" spans="1:17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  <c r="O983">
        <f t="shared" si="45"/>
        <v>21866.639999999999</v>
      </c>
      <c r="P983">
        <f t="shared" si="46"/>
        <v>29149.439999999999</v>
      </c>
      <c r="Q983">
        <f t="shared" si="47"/>
        <v>7282.7999999999993</v>
      </c>
    </row>
    <row r="984" spans="1:17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  <c r="O984">
        <f t="shared" si="45"/>
        <v>5294.7300000000005</v>
      </c>
      <c r="P984">
        <f t="shared" si="46"/>
        <v>8039.47</v>
      </c>
      <c r="Q984">
        <f t="shared" si="47"/>
        <v>2744.74</v>
      </c>
    </row>
    <row r="985" spans="1:17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  <c r="O985">
        <f t="shared" si="45"/>
        <v>105084</v>
      </c>
      <c r="P985">
        <f t="shared" si="46"/>
        <v>112500.36000000002</v>
      </c>
      <c r="Q985">
        <f t="shared" si="47"/>
        <v>7416.3600000000151</v>
      </c>
    </row>
    <row r="986" spans="1:17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  <c r="O986">
        <f t="shared" si="45"/>
        <v>196397.77000000002</v>
      </c>
      <c r="P986">
        <f t="shared" si="46"/>
        <v>213227.53999999998</v>
      </c>
      <c r="Q986">
        <f t="shared" si="47"/>
        <v>16829.76999999996</v>
      </c>
    </row>
    <row r="987" spans="1:17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  <c r="O987">
        <f t="shared" si="45"/>
        <v>25053.03</v>
      </c>
      <c r="P987">
        <f t="shared" si="46"/>
        <v>37775.43</v>
      </c>
      <c r="Q987">
        <f t="shared" si="47"/>
        <v>12722.400000000001</v>
      </c>
    </row>
    <row r="988" spans="1:17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  <c r="O988">
        <f t="shared" si="45"/>
        <v>2715.52</v>
      </c>
      <c r="P988">
        <f t="shared" si="46"/>
        <v>16549.759999999998</v>
      </c>
      <c r="Q988">
        <f t="shared" si="47"/>
        <v>13834.239999999998</v>
      </c>
    </row>
    <row r="989" spans="1:17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  <c r="O989">
        <f t="shared" si="45"/>
        <v>56520.94</v>
      </c>
      <c r="P989">
        <f t="shared" si="46"/>
        <v>60531.94</v>
      </c>
      <c r="Q989">
        <f t="shared" si="47"/>
        <v>4011</v>
      </c>
    </row>
    <row r="990" spans="1:17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  <c r="O990">
        <f t="shared" si="45"/>
        <v>7742.5199999999995</v>
      </c>
      <c r="P990">
        <f t="shared" si="46"/>
        <v>11541.24</v>
      </c>
      <c r="Q990">
        <f t="shared" si="47"/>
        <v>3798.7200000000003</v>
      </c>
    </row>
    <row r="991" spans="1:17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  <c r="O991">
        <f t="shared" si="45"/>
        <v>58739.520000000004</v>
      </c>
      <c r="P991">
        <f t="shared" si="46"/>
        <v>63587.719999999994</v>
      </c>
      <c r="Q991">
        <f t="shared" si="47"/>
        <v>4848.1999999999898</v>
      </c>
    </row>
    <row r="992" spans="1:17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  <c r="O992">
        <f t="shared" si="45"/>
        <v>98904.209999999992</v>
      </c>
      <c r="P992">
        <f t="shared" si="46"/>
        <v>100969.87999999999</v>
      </c>
      <c r="Q992">
        <f t="shared" si="47"/>
        <v>2065.6699999999983</v>
      </c>
    </row>
    <row r="993" spans="1:17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  <c r="O993">
        <f t="shared" si="45"/>
        <v>19554.400000000001</v>
      </c>
      <c r="P993">
        <f t="shared" si="46"/>
        <v>20549.759999999998</v>
      </c>
      <c r="Q993">
        <f t="shared" si="47"/>
        <v>995.35999999999694</v>
      </c>
    </row>
    <row r="994" spans="1:17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  <c r="O994">
        <f t="shared" si="45"/>
        <v>16296.35</v>
      </c>
      <c r="P994">
        <f t="shared" si="46"/>
        <v>28451.85</v>
      </c>
      <c r="Q994">
        <f t="shared" si="47"/>
        <v>12155.499999999998</v>
      </c>
    </row>
    <row r="995" spans="1:17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  <c r="O995">
        <f t="shared" si="45"/>
        <v>181495.67</v>
      </c>
      <c r="P995">
        <f t="shared" si="46"/>
        <v>187948.77</v>
      </c>
      <c r="Q995">
        <f t="shared" si="47"/>
        <v>6453.0999999999767</v>
      </c>
    </row>
    <row r="996" spans="1:17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  <c r="O996">
        <f t="shared" si="45"/>
        <v>98250.47</v>
      </c>
      <c r="P996">
        <f t="shared" si="46"/>
        <v>102428.65000000001</v>
      </c>
      <c r="Q996">
        <f t="shared" si="47"/>
        <v>4178.1800000000076</v>
      </c>
    </row>
    <row r="997" spans="1:17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  <c r="O997">
        <f t="shared" si="45"/>
        <v>19772.12</v>
      </c>
      <c r="P997">
        <f t="shared" si="46"/>
        <v>21768.6</v>
      </c>
      <c r="Q997">
        <f t="shared" si="47"/>
        <v>1996.4799999999996</v>
      </c>
    </row>
    <row r="998" spans="1:17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  <c r="O998">
        <f t="shared" si="45"/>
        <v>64909.84</v>
      </c>
      <c r="P998">
        <f t="shared" si="46"/>
        <v>68686.799999999639</v>
      </c>
      <c r="Q998">
        <f t="shared" si="47"/>
        <v>3776.9599999996426</v>
      </c>
    </row>
    <row r="999" spans="1:17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  <c r="O999">
        <f t="shared" si="45"/>
        <v>6047.2400000000007</v>
      </c>
      <c r="P999">
        <f t="shared" si="46"/>
        <v>7450.59</v>
      </c>
      <c r="Q999">
        <f t="shared" si="47"/>
        <v>1403.3499999999995</v>
      </c>
    </row>
    <row r="1000" spans="1:17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  <c r="O1000">
        <f t="shared" si="45"/>
        <v>143716.17000000001</v>
      </c>
      <c r="P1000">
        <f t="shared" si="46"/>
        <v>145992.21</v>
      </c>
      <c r="Q1000">
        <f t="shared" si="47"/>
        <v>2276.039999999979</v>
      </c>
    </row>
    <row r="1001" spans="1:17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  <c r="O1001">
        <f t="shared" si="45"/>
        <v>126363.84</v>
      </c>
      <c r="P1001">
        <f t="shared" si="46"/>
        <v>140480.63999999998</v>
      </c>
      <c r="Q1001">
        <f t="shared" si="47"/>
        <v>14116.799999999988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F98-60C9-4684-80CD-19FE7CC44324}">
  <dimension ref="A1:G18"/>
  <sheetViews>
    <sheetView topLeftCell="A10" workbookViewId="0">
      <selection activeCell="B14" sqref="B14"/>
    </sheetView>
  </sheetViews>
  <sheetFormatPr defaultRowHeight="14.4" x14ac:dyDescent="0.3"/>
  <cols>
    <col min="1" max="1" width="22.109375" bestFit="1" customWidth="1"/>
    <col min="7" max="7" width="15.21875" bestFit="1" customWidth="1"/>
  </cols>
  <sheetData>
    <row r="1" spans="1:7" x14ac:dyDescent="0.3">
      <c r="A1" s="15" t="s">
        <v>67</v>
      </c>
      <c r="B1" s="15" t="s">
        <v>58</v>
      </c>
      <c r="C1" s="15"/>
      <c r="D1" s="15"/>
      <c r="E1" s="15"/>
      <c r="F1" s="15"/>
      <c r="G1" s="15"/>
    </row>
    <row r="2" spans="1:7" x14ac:dyDescent="0.3">
      <c r="A2" s="15"/>
      <c r="B2" s="15" t="s">
        <v>56</v>
      </c>
      <c r="C2" s="15"/>
      <c r="D2" s="15"/>
      <c r="E2" s="15"/>
      <c r="F2" s="15" t="s">
        <v>57</v>
      </c>
      <c r="G2" s="15" t="s">
        <v>55</v>
      </c>
    </row>
    <row r="3" spans="1:7" x14ac:dyDescent="0.3">
      <c r="A3" s="15" t="s">
        <v>54</v>
      </c>
      <c r="B3" s="15" t="s">
        <v>60</v>
      </c>
      <c r="C3" s="15" t="s">
        <v>61</v>
      </c>
      <c r="D3" s="15" t="s">
        <v>62</v>
      </c>
      <c r="E3" s="15" t="s">
        <v>63</v>
      </c>
      <c r="F3" s="15" t="s">
        <v>60</v>
      </c>
      <c r="G3" s="15"/>
    </row>
    <row r="4" spans="1:7" x14ac:dyDescent="0.3">
      <c r="A4" s="13" t="s">
        <v>29</v>
      </c>
      <c r="B4" s="12">
        <v>5076.1846376811609</v>
      </c>
      <c r="C4" s="12">
        <v>4563.6939682539687</v>
      </c>
      <c r="D4" s="12">
        <v>4992.7778461538473</v>
      </c>
      <c r="E4" s="12">
        <v>4982.9088571428565</v>
      </c>
      <c r="F4" s="12">
        <v>2370.7199999999998</v>
      </c>
      <c r="G4" s="12">
        <v>4901.0237313432835</v>
      </c>
    </row>
    <row r="5" spans="1:7" x14ac:dyDescent="0.3">
      <c r="A5" s="13" t="s">
        <v>35</v>
      </c>
      <c r="B5" s="12">
        <v>4660.8208196721307</v>
      </c>
      <c r="C5" s="12">
        <v>5291.9908196721317</v>
      </c>
      <c r="D5" s="12">
        <v>5335.1393103448281</v>
      </c>
      <c r="E5" s="12">
        <v>4897.8512307692317</v>
      </c>
      <c r="F5" s="12">
        <v>8579.7199999999993</v>
      </c>
      <c r="G5" s="12">
        <v>5054.876585365856</v>
      </c>
    </row>
    <row r="6" spans="1:7" x14ac:dyDescent="0.3">
      <c r="A6" s="13" t="s">
        <v>26</v>
      </c>
      <c r="B6" s="12">
        <v>4659.0061403508789</v>
      </c>
      <c r="C6" s="12">
        <v>5874.9204166666668</v>
      </c>
      <c r="D6" s="12">
        <v>5289.3547272727264</v>
      </c>
      <c r="E6" s="12">
        <v>5460.3373846153845</v>
      </c>
      <c r="F6" s="12">
        <v>8377.57</v>
      </c>
      <c r="G6" s="12">
        <v>5317.5820353982317</v>
      </c>
    </row>
    <row r="7" spans="1:7" x14ac:dyDescent="0.3">
      <c r="A7" s="13" t="s">
        <v>16</v>
      </c>
      <c r="B7" s="12">
        <v>5110.593088235295</v>
      </c>
      <c r="C7" s="12">
        <v>4852.1831506849303</v>
      </c>
      <c r="D7" s="12">
        <v>5105.2668627450976</v>
      </c>
      <c r="E7" s="12">
        <v>4388.5202941176467</v>
      </c>
      <c r="F7" s="12"/>
      <c r="G7" s="12">
        <v>4848.1449615384627</v>
      </c>
    </row>
    <row r="8" spans="1:7" x14ac:dyDescent="0.3">
      <c r="A8" s="13" t="s">
        <v>55</v>
      </c>
      <c r="B8" s="12">
        <v>4892.747019607843</v>
      </c>
      <c r="C8" s="12">
        <v>5087.8763673469384</v>
      </c>
      <c r="D8" s="12">
        <v>5175.7718777292557</v>
      </c>
      <c r="E8" s="12">
        <v>4927.258432835818</v>
      </c>
      <c r="F8" s="12">
        <v>6442.6699999999992</v>
      </c>
      <c r="G8" s="12">
        <v>5019.2652300000018</v>
      </c>
    </row>
    <row r="12" spans="1:7" x14ac:dyDescent="0.3">
      <c r="A12" s="10" t="s">
        <v>68</v>
      </c>
      <c r="B12" s="11"/>
      <c r="C12" s="11"/>
      <c r="D12" s="11"/>
      <c r="E12" s="11"/>
      <c r="F12" s="11"/>
      <c r="G12" s="11"/>
    </row>
    <row r="13" spans="1:7" x14ac:dyDescent="0.3">
      <c r="A13" s="14"/>
      <c r="B13" s="15" t="s">
        <v>56</v>
      </c>
      <c r="C13" s="15"/>
      <c r="D13" s="15"/>
      <c r="E13" s="15"/>
      <c r="F13" s="15" t="s">
        <v>57</v>
      </c>
      <c r="G13" s="15"/>
    </row>
    <row r="14" spans="1:7" x14ac:dyDescent="0.3">
      <c r="A14" s="14"/>
      <c r="B14" s="15" t="s">
        <v>60</v>
      </c>
      <c r="C14" s="15" t="s">
        <v>61</v>
      </c>
      <c r="D14" s="15" t="s">
        <v>62</v>
      </c>
      <c r="E14" s="15" t="s">
        <v>63</v>
      </c>
      <c r="F14" s="15" t="s">
        <v>60</v>
      </c>
      <c r="G14" s="15" t="s">
        <v>69</v>
      </c>
    </row>
    <row r="15" spans="1:7" x14ac:dyDescent="0.3">
      <c r="A15" s="13" t="s">
        <v>29</v>
      </c>
      <c r="B15" s="12">
        <f>B4/G4</f>
        <v>1.0357396568430548</v>
      </c>
      <c r="C15" s="12">
        <f>C4/G4</f>
        <v>0.93117157116950777</v>
      </c>
      <c r="D15" s="12">
        <f>D4/G4</f>
        <v>1.0187214181853015</v>
      </c>
      <c r="E15" s="12">
        <f>E4/G4</f>
        <v>1.016707759498469</v>
      </c>
      <c r="F15" s="12">
        <f>F4/G4</f>
        <v>0.48371934721283782</v>
      </c>
      <c r="G15" s="12">
        <f>AVERAGE(B15:E15)</f>
        <v>1.0005851014240832</v>
      </c>
    </row>
    <row r="16" spans="1:7" x14ac:dyDescent="0.3">
      <c r="A16" s="13" t="s">
        <v>35</v>
      </c>
      <c r="B16" s="12">
        <f>B5/G5</f>
        <v>0.92204443391663837</v>
      </c>
      <c r="C16" s="12">
        <f>C5/G5</f>
        <v>1.0469080165068192</v>
      </c>
      <c r="D16" s="12">
        <f>D5/G5</f>
        <v>1.0554440291955589</v>
      </c>
      <c r="E16" s="12">
        <f>E5/G5</f>
        <v>0.96893586778137741</v>
      </c>
      <c r="F16" s="12">
        <f>F5/G5</f>
        <v>1.6973154250370341</v>
      </c>
      <c r="G16" s="12">
        <f t="shared" ref="G16:G18" si="0">AVERAGE(B16:E16)</f>
        <v>0.99833308685009847</v>
      </c>
    </row>
    <row r="17" spans="1:7" x14ac:dyDescent="0.3">
      <c r="A17" s="13" t="s">
        <v>26</v>
      </c>
      <c r="B17" s="12">
        <f>B6/G6</f>
        <v>0.87615124869474026</v>
      </c>
      <c r="C17" s="12">
        <f>C6/G6</f>
        <v>1.1048104904744918</v>
      </c>
      <c r="D17" s="12">
        <f>D6/G6</f>
        <v>0.9946917023681815</v>
      </c>
      <c r="E17" s="12">
        <f>E6/G6</f>
        <v>1.0268459138508546</v>
      </c>
      <c r="F17" s="12">
        <f>F6/G6</f>
        <v>1.5754472510686159</v>
      </c>
      <c r="G17" s="12">
        <f t="shared" si="0"/>
        <v>1.0006248388470671</v>
      </c>
    </row>
    <row r="18" spans="1:7" x14ac:dyDescent="0.3">
      <c r="A18" s="13" t="s">
        <v>16</v>
      </c>
      <c r="B18" s="12">
        <f>B7/G7</f>
        <v>1.0541337209961539</v>
      </c>
      <c r="C18" s="12">
        <f>C7/G7</f>
        <v>1.0008329349015972</v>
      </c>
      <c r="D18" s="12">
        <f>D7/G7</f>
        <v>1.0530351099743194</v>
      </c>
      <c r="E18" s="12">
        <f>E7/G7</f>
        <v>0.90519576640815558</v>
      </c>
      <c r="F18" s="12">
        <f>F7/G7</f>
        <v>0</v>
      </c>
      <c r="G18" s="12">
        <f t="shared" si="0"/>
        <v>1.0032993830700565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Geographical Analysis</vt:lpstr>
      <vt:lpstr>Forecast</vt:lpstr>
      <vt:lpstr>Revenue Growth QoQ</vt:lpstr>
      <vt:lpstr>Period Averages</vt:lpstr>
      <vt:lpstr>Bestseller</vt:lpstr>
      <vt:lpstr>Gross Profit Margin </vt:lpstr>
      <vt:lpstr>Product Demand </vt:lpstr>
      <vt:lpstr>sales_data</vt:lpstr>
      <vt:lpstr>Seasonal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majumdar</dc:creator>
  <cp:lastModifiedBy>shilpa majumdar</cp:lastModifiedBy>
  <dcterms:created xsi:type="dcterms:W3CDTF">2026-02-16T18:55:10Z</dcterms:created>
  <dcterms:modified xsi:type="dcterms:W3CDTF">2026-02-20T18:42:11Z</dcterms:modified>
</cp:coreProperties>
</file>